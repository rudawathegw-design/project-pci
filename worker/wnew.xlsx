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905" firstSheet="0" activeTab="2" autoFilterDateGrouping="1"/>
  </bookViews>
  <sheets>
    <sheet xmlns:r="http://schemas.openxmlformats.org/officeDocument/2006/relationships" name="Firewall Review" sheetId="1" state="visible" r:id="rId1"/>
    <sheet xmlns:r="http://schemas.openxmlformats.org/officeDocument/2006/relationships" name="System Configuration" sheetId="2" state="visible" r:id="rId2"/>
    <sheet xmlns:r="http://schemas.openxmlformats.org/officeDocument/2006/relationships" name="HR &amp; Access Control " sheetId="3" state="visible" r:id="rId3"/>
    <sheet xmlns:r="http://schemas.openxmlformats.org/officeDocument/2006/relationships" name="Application &amp; API Security" sheetId="4" state="visible" r:id="rId4"/>
    <sheet xmlns:r="http://schemas.openxmlformats.org/officeDocument/2006/relationships" name="Database Review" sheetId="5" state="visible" r:id="rId5"/>
    <sheet xmlns:r="http://schemas.openxmlformats.org/officeDocument/2006/relationships" name="PAM Solution Review" sheetId="6" state="visible" r:id="rId6"/>
    <sheet xmlns:r="http://schemas.openxmlformats.org/officeDocument/2006/relationships" name="SIEM Review" sheetId="7" state="visible" r:id="rId7"/>
    <sheet xmlns:r="http://schemas.openxmlformats.org/officeDocument/2006/relationships" name="Infosec" sheetId="8" state="visible" r:id="rId8"/>
    <sheet xmlns:r="http://schemas.openxmlformats.org/officeDocument/2006/relationships" name="Switches - Network" sheetId="9" state="visible" r:id="rId9"/>
    <sheet xmlns:r="http://schemas.openxmlformats.org/officeDocument/2006/relationships" name="Open vs Done Summary" sheetId="10" state="visible" r:id="rId10"/>
  </sheets>
  <definedNames>
    <definedName name="_xlnm._FilterDatabase" localSheetId="1" hidden="1">'System Configuration'!$A$2:$J$14</definedName>
    <definedName name="_xlnm._FilterDatabase" localSheetId="3" hidden="1">'Application &amp; API Security'!$A$2:$L$24</definedName>
    <definedName name="_xlnm._FilterDatabase" localSheetId="5" hidden="1">'PAM Solution Review'!$A$2:$K$7</definedName>
    <definedName name="_xlnm._FilterDatabase" localSheetId="6" hidden="1">'SIEM Review'!$A$2:$J$10</definedName>
  </definedNames>
  <calcPr calcId="191028" fullCalcOnLoad="1"/>
</workbook>
</file>

<file path=xl/styles.xml><?xml version="1.0" encoding="utf-8"?>
<styleSheet xmlns="http://schemas.openxmlformats.org/spreadsheetml/2006/main">
  <numFmts count="0"/>
  <fonts count="31">
    <font>
      <name val="Aptos Narrow"/>
      <family val="2"/>
      <color theme="1"/>
      <sz val="11"/>
      <scheme val="minor"/>
    </font>
    <font>
      <name val="Aptos Narrow"/>
      <family val="2"/>
      <b val="1"/>
      <color theme="1"/>
      <sz val="11"/>
      <scheme val="minor"/>
    </font>
    <font>
      <name val="Aptos Narrow"/>
      <family val="2"/>
      <b val="1"/>
      <color theme="1"/>
      <sz val="12"/>
      <scheme val="minor"/>
    </font>
    <font>
      <name val="Aptos Narrow"/>
      <family val="2"/>
      <b val="1"/>
      <i val="1"/>
      <color theme="0"/>
      <sz val="14"/>
      <scheme val="minor"/>
    </font>
    <font>
      <name val="Aptos Narrow"/>
      <family val="2"/>
      <color rgb="FF000000"/>
      <sz val="11"/>
    </font>
    <font>
      <name val="Aptos Narrow"/>
      <family val="2"/>
      <color theme="10"/>
      <sz val="11"/>
      <u val="single"/>
      <scheme val="minor"/>
    </font>
    <font>
      <name val="Aptos Narrow"/>
      <family val="2"/>
      <color theme="0"/>
      <sz val="11"/>
      <scheme val="minor"/>
    </font>
    <font>
      <name val="Aptos Narrow"/>
      <family val="2"/>
      <b val="1"/>
      <color theme="0"/>
      <sz val="11"/>
      <scheme val="minor"/>
    </font>
    <font>
      <name val="Aptos Narrow"/>
      <color rgb="FFFFFFFF"/>
      <sz val="11"/>
      <scheme val="minor"/>
    </font>
    <font>
      <name val="Aptos Narrow"/>
      <color rgb="FF00B88A"/>
      <sz val="11"/>
      <scheme val="minor"/>
    </font>
    <font>
      <name val="Aptos Narrow"/>
      <color theme="0"/>
      <sz val="11"/>
      <scheme val="minor"/>
    </font>
    <font>
      <name val="Aptos Narrow"/>
      <family val="2"/>
      <color rgb="FF00B88A"/>
      <sz val="11"/>
      <scheme val="minor"/>
    </font>
    <font>
      <name val="Aptos Narrow"/>
      <color rgb="FF000000"/>
      <sz val="11"/>
    </font>
    <font>
      <name val="Aptos Narrow"/>
      <b val="1"/>
      <color rgb="FF000000"/>
      <sz val="11"/>
    </font>
    <font>
      <name val="Arial Unicode MS"/>
      <color theme="1"/>
      <sz val="10"/>
    </font>
    <font>
      <name val="Arial"/>
      <family val="2"/>
      <color theme="1"/>
      <sz val="11"/>
    </font>
    <font>
      <name val="Aptos Narrow"/>
      <family val="2"/>
      <b val="1"/>
      <color rgb="FF00B88A"/>
      <sz val="11"/>
      <u val="double"/>
      <scheme val="minor"/>
    </font>
    <font>
      <name val="Aptos Narrow"/>
      <family val="2"/>
      <color rgb="FFFF0000"/>
      <sz val="11"/>
      <scheme val="minor"/>
    </font>
    <font>
      <name val="Google Sans Text"/>
      <family val="2"/>
      <color theme="1"/>
      <sz val="10"/>
    </font>
    <font>
      <name val="Aptos Narrow"/>
      <family val="2"/>
      <b val="1"/>
      <color theme="1" tint="0.0499893185216834"/>
      <sz val="11"/>
      <u val="double"/>
      <scheme val="minor"/>
    </font>
    <font>
      <name val="Aptos Narrow"/>
      <family val="2"/>
      <b val="1"/>
      <color rgb="FF00B0F0"/>
      <sz val="11"/>
      <u val="double"/>
      <scheme val="minor"/>
    </font>
    <font>
      <name val="Aptos Narrow"/>
      <family val="2"/>
      <color theme="0"/>
      <sz val="11"/>
      <u val="single"/>
      <scheme val="minor"/>
    </font>
    <font>
      <name val="Inter"/>
      <charset val="1"/>
      <b val="1"/>
      <color rgb="FF334155"/>
      <sz val="9"/>
    </font>
    <font>
      <name val="Aptos Narrow"/>
      <family val="2"/>
      <b val="1"/>
      <i val="1"/>
      <color rgb="FFFFFFFF"/>
      <sz val="14"/>
    </font>
    <font>
      <name val="Aptos Narrow"/>
      <color rgb="FF00B88A"/>
      <sz val="11"/>
    </font>
    <font>
      <name val="Aptos Narrow"/>
      <color rgb="FFFFFFFF"/>
      <sz val="11"/>
    </font>
    <font>
      <name val="Aptos Narrow"/>
      <family val="2"/>
      <b val="1"/>
      <color rgb="FF000000"/>
      <sz val="12"/>
    </font>
    <font>
      <name val="Arial"/>
      <family val="2"/>
      <color rgb="FF000000"/>
      <sz val="11"/>
    </font>
    <font>
      <name val="Aptos Narrow"/>
      <family val="2"/>
      <b val="1"/>
      <color rgb="FF000000"/>
      <sz val="11"/>
    </font>
    <font>
      <name val="Aptos Narrow"/>
      <family val="2"/>
      <color rgb="FF467886"/>
      <sz val="11"/>
      <u val="single"/>
    </font>
    <font>
      <name val="Aptos Narrow"/>
      <family val="2"/>
      <color rgb="FFFFFFFF"/>
      <sz val="11"/>
    </font>
  </fonts>
  <fills count="17">
    <fill>
      <patternFill/>
    </fill>
    <fill>
      <patternFill patternType="gray125"/>
    </fill>
    <fill>
      <patternFill patternType="solid">
        <fgColor rgb="FFC00000"/>
        <bgColor indexed="64"/>
      </patternFill>
    </fill>
    <fill>
      <patternFill patternType="solid">
        <fgColor theme="0" tint="-0.3499862666707358"/>
        <bgColor indexed="64"/>
      </patternFill>
    </fill>
    <fill>
      <patternFill patternType="solid">
        <fgColor rgb="FF00B88A"/>
        <bgColor indexed="64"/>
      </patternFill>
    </fill>
    <fill>
      <patternFill patternType="solid">
        <fgColor rgb="FFFFFF00"/>
        <bgColor indexed="64"/>
      </patternFill>
    </fill>
    <fill>
      <patternFill patternType="solid">
        <fgColor rgb="FF002060"/>
        <bgColor indexed="64"/>
      </patternFill>
    </fill>
    <fill>
      <patternFill patternType="solid">
        <fgColor theme="0"/>
        <bgColor indexed="64"/>
      </patternFill>
    </fill>
    <fill>
      <patternFill patternType="solid">
        <fgColor rgb="FFFFC000"/>
        <bgColor indexed="64"/>
      </patternFill>
    </fill>
    <fill>
      <patternFill patternType="solid">
        <fgColor theme="2" tint="-0.249977111117893"/>
        <bgColor indexed="64"/>
      </patternFill>
    </fill>
    <fill>
      <patternFill patternType="solid">
        <fgColor theme="1" tint="0.499984740745262"/>
        <bgColor indexed="64"/>
      </patternFill>
    </fill>
    <fill>
      <patternFill patternType="solid">
        <fgColor theme="0" tint="-0.249977111117893"/>
        <bgColor indexed="64"/>
      </patternFill>
    </fill>
    <fill>
      <patternFill patternType="solid">
        <fgColor rgb="FF00B0F0"/>
        <bgColor indexed="64"/>
      </patternFill>
    </fill>
    <fill>
      <patternFill patternType="solid">
        <fgColor rgb="FFC00000"/>
        <bgColor rgb="FF000000"/>
      </patternFill>
    </fill>
    <fill>
      <patternFill patternType="solid">
        <fgColor rgb="FFA6A6A6"/>
        <bgColor rgb="FF000000"/>
      </patternFill>
    </fill>
    <fill>
      <patternFill patternType="solid">
        <fgColor rgb="FF00B88A"/>
        <bgColor rgb="FF000000"/>
      </patternFill>
    </fill>
    <fill>
      <patternFill patternType="solid">
        <fgColor rgb="FF4EA72E"/>
        <bgColor rgb="FF000000"/>
      </patternFill>
    </fill>
  </fills>
  <borders count="8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rgb="FF000000"/>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right style="medium">
        <color rgb="FF000000"/>
      </right>
      <top style="thin">
        <color rgb="FF000000"/>
      </top>
      <bottom style="thin">
        <color rgb="FF000000"/>
      </bottom>
      <diagonal/>
    </border>
    <border>
      <left/>
      <right style="medium">
        <color rgb="FF000000"/>
      </right>
      <top style="medium">
        <color rgb="FF000000"/>
      </top>
      <bottom/>
      <diagonal/>
    </border>
    <border>
      <left style="thin">
        <color rgb="FF000000"/>
      </left>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rgb="FF000000"/>
      </right>
      <top style="medium">
        <color rgb="FF000000"/>
      </top>
      <bottom style="medium">
        <color rgb="FF000000"/>
      </bottom>
      <diagonal/>
    </border>
    <border>
      <left style="thin">
        <color indexed="64"/>
      </left>
      <right/>
      <top/>
      <bottom/>
      <diagonal/>
    </border>
    <border>
      <left/>
      <right style="medium">
        <color rgb="FF000000"/>
      </right>
      <top style="medium">
        <color indexed="64"/>
      </top>
      <bottom style="medium">
        <color indexed="64"/>
      </bottom>
      <diagonal/>
    </border>
    <border>
      <left/>
      <right style="thin">
        <color rgb="FF000000"/>
      </right>
      <top/>
      <bottom/>
      <diagonal/>
    </border>
    <border>
      <left/>
      <right style="thin">
        <color rgb="FF000000"/>
      </right>
      <top/>
      <bottom style="thin">
        <color rgb="FF000000"/>
      </bottom>
      <diagonal/>
    </border>
    <border>
      <left/>
      <right/>
      <top style="medium">
        <color rgb="FF000000"/>
      </top>
      <bottom style="medium">
        <color rgb="FF000000"/>
      </bottom>
      <diagonal/>
    </border>
    <border>
      <left/>
      <right/>
      <top style="medium">
        <color indexed="64"/>
      </top>
      <bottom/>
      <diagonal/>
    </border>
    <border>
      <left/>
      <right style="thin">
        <color indexed="64"/>
      </right>
      <top style="medium">
        <color indexed="64"/>
      </top>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right style="thin">
        <color indexed="64"/>
      </right>
      <top style="medium">
        <color indexed="64"/>
      </top>
      <bottom style="thin">
        <color indexed="64"/>
      </bottom>
      <diagonal/>
    </border>
    <border>
      <left/>
      <right style="medium">
        <color indexed="64"/>
      </right>
      <top style="medium">
        <color indexed="64"/>
      </top>
      <bottom/>
      <diagonal/>
    </border>
  </borders>
  <cellStyleXfs count="2">
    <xf numFmtId="0" fontId="0" fillId="0" borderId="0"/>
    <xf numFmtId="0" fontId="5" fillId="0" borderId="0"/>
  </cellStyleXfs>
  <cellXfs count="247">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left" vertical="center" wrapText="1"/>
    </xf>
    <xf numFmtId="0" fontId="1" fillId="0" borderId="0" applyAlignment="1" pivotButton="0" quotePrefix="0" xfId="0">
      <alignment horizontal="center" vertical="center" wrapText="1"/>
    </xf>
    <xf numFmtId="0" fontId="1" fillId="0" borderId="1" applyAlignment="1" pivotButton="0" quotePrefix="0" xfId="0">
      <alignment horizontal="center" vertical="center" wrapText="1"/>
    </xf>
    <xf numFmtId="0" fontId="0" fillId="0" borderId="1" applyAlignment="1" pivotButton="0" quotePrefix="0" xfId="0">
      <alignment vertical="center" wrapText="1"/>
    </xf>
    <xf numFmtId="0" fontId="1" fillId="0" borderId="2" applyAlignment="1" pivotButton="0" quotePrefix="0" xfId="0">
      <alignment horizontal="center" vertical="center" wrapText="1"/>
    </xf>
    <xf numFmtId="0" fontId="1" fillId="0" borderId="4" applyAlignment="1" pivotButton="0" quotePrefix="0" xfId="0">
      <alignment horizontal="center" vertical="center" wrapText="1"/>
    </xf>
    <xf numFmtId="0" fontId="0" fillId="0" borderId="5" applyAlignment="1" pivotButton="0" quotePrefix="0" xfId="0">
      <alignment vertical="center" wrapText="1"/>
    </xf>
    <xf numFmtId="0" fontId="0" fillId="0" borderId="5" applyAlignment="1" pivotButton="0" quotePrefix="0" xfId="0">
      <alignment horizontal="left" vertical="center" wrapText="1"/>
    </xf>
    <xf numFmtId="0" fontId="1" fillId="0" borderId="5" applyAlignment="1" pivotButton="0" quotePrefix="0" xfId="0">
      <alignment horizontal="center" vertical="center" wrapText="1"/>
    </xf>
    <xf numFmtId="0" fontId="1" fillId="0" borderId="7" applyAlignment="1" pivotButton="0" quotePrefix="0" xfId="0">
      <alignment horizontal="center" vertical="center" wrapText="1"/>
    </xf>
    <xf numFmtId="0" fontId="0" fillId="0" borderId="8" applyAlignment="1" pivotButton="0" quotePrefix="0" xfId="0">
      <alignment vertical="center" wrapText="1"/>
    </xf>
    <xf numFmtId="0" fontId="1" fillId="0" borderId="8" applyAlignment="1" pivotButton="0" quotePrefix="0" xfId="0">
      <alignment horizontal="center" vertical="center" wrapText="1"/>
    </xf>
    <xf numFmtId="0" fontId="2" fillId="3" borderId="13" applyAlignment="1" pivotButton="0" quotePrefix="0" xfId="0">
      <alignment horizontal="center" vertical="center" wrapText="1"/>
    </xf>
    <xf numFmtId="0" fontId="2" fillId="3" borderId="14" applyAlignment="1" pivotButton="0" quotePrefix="0" xfId="0">
      <alignment horizontal="center" vertical="center" wrapText="1"/>
    </xf>
    <xf numFmtId="0" fontId="2" fillId="3" borderId="15"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0" fillId="0" borderId="3" applyAlignment="1" pivotButton="0" quotePrefix="0" xfId="0">
      <alignment vertical="center" wrapText="1"/>
    </xf>
    <xf numFmtId="0" fontId="2" fillId="3" borderId="4" applyAlignment="1" pivotButton="0" quotePrefix="0" xfId="0">
      <alignment horizontal="center" vertical="center" wrapText="1"/>
    </xf>
    <xf numFmtId="0" fontId="2" fillId="3" borderId="5" applyAlignment="1" pivotButton="0" quotePrefix="0" xfId="0">
      <alignment horizontal="center" vertical="center" wrapText="1"/>
    </xf>
    <xf numFmtId="0" fontId="2" fillId="3" borderId="6" applyAlignment="1" pivotButton="0" quotePrefix="0" xfId="0">
      <alignment horizontal="center" vertical="center" wrapText="1"/>
    </xf>
    <xf numFmtId="0" fontId="2" fillId="3" borderId="24" applyAlignment="1" pivotButton="0" quotePrefix="0" xfId="0">
      <alignment horizontal="center" vertical="center" wrapText="1"/>
    </xf>
    <xf numFmtId="0" fontId="0" fillId="0" borderId="24" applyAlignment="1" pivotButton="0" quotePrefix="0" xfId="0">
      <alignment vertical="center" wrapText="1"/>
    </xf>
    <xf numFmtId="0" fontId="0" fillId="0" borderId="25" applyAlignment="1" pivotButton="0" quotePrefix="0" xfId="0">
      <alignment vertical="center" wrapText="1"/>
    </xf>
    <xf numFmtId="0" fontId="0" fillId="0" borderId="1" applyAlignment="1" pivotButton="0" quotePrefix="0" xfId="0">
      <alignment wrapText="1"/>
    </xf>
    <xf numFmtId="0" fontId="0" fillId="0" borderId="5" applyAlignment="1" pivotButton="0" quotePrefix="0" xfId="0">
      <alignment wrapText="1"/>
    </xf>
    <xf numFmtId="0" fontId="0" fillId="0" borderId="27" applyAlignment="1" pivotButton="0" quotePrefix="0" xfId="0">
      <alignment wrapText="1"/>
    </xf>
    <xf numFmtId="0" fontId="0" fillId="0" borderId="28" applyAlignment="1" pivotButton="0" quotePrefix="0" xfId="0">
      <alignment wrapText="1"/>
    </xf>
    <xf numFmtId="0" fontId="1" fillId="0" borderId="29" applyAlignment="1" pivotButton="0" quotePrefix="0" xfId="0">
      <alignment horizontal="center" vertical="center" wrapText="1"/>
    </xf>
    <xf numFmtId="0" fontId="1" fillId="0" borderId="30" applyAlignment="1" pivotButton="0" quotePrefix="0" xfId="0">
      <alignment horizontal="center" vertical="center" wrapText="1"/>
    </xf>
    <xf numFmtId="0" fontId="2" fillId="3" borderId="26" applyAlignment="1" pivotButton="0" quotePrefix="0" xfId="0">
      <alignment horizontal="center" vertical="center" wrapText="1"/>
    </xf>
    <xf numFmtId="0" fontId="2" fillId="3" borderId="36" applyAlignment="1" pivotButton="0" quotePrefix="0" xfId="0">
      <alignment horizontal="center" vertical="center" wrapText="1"/>
    </xf>
    <xf numFmtId="0" fontId="2" fillId="3" borderId="11" applyAlignment="1" pivotButton="0" quotePrefix="0" xfId="0">
      <alignment horizontal="center" vertical="center" wrapText="1"/>
    </xf>
    <xf numFmtId="0" fontId="2" fillId="3" borderId="12" applyAlignment="1" pivotButton="0" quotePrefix="0" xfId="0">
      <alignment horizontal="center" vertical="center" wrapText="1"/>
    </xf>
    <xf numFmtId="0" fontId="1" fillId="0" borderId="35" applyAlignment="1" pivotButton="0" quotePrefix="0" xfId="0">
      <alignment horizontal="center" vertical="center" wrapText="1"/>
    </xf>
    <xf numFmtId="0" fontId="0" fillId="0" borderId="19" applyAlignment="1" pivotButton="0" quotePrefix="0" xfId="0">
      <alignment vertical="center" wrapText="1"/>
    </xf>
    <xf numFmtId="0" fontId="0" fillId="0" borderId="27" applyAlignment="1" pivotButton="0" quotePrefix="0" xfId="0">
      <alignment vertical="center" wrapText="1"/>
    </xf>
    <xf numFmtId="0" fontId="0" fillId="0" borderId="28" applyAlignment="1" pivotButton="0" quotePrefix="0" xfId="0">
      <alignment vertical="center" wrapText="1"/>
    </xf>
    <xf numFmtId="0" fontId="0" fillId="0" borderId="3" applyAlignment="1" pivotButton="0" quotePrefix="0" xfId="0">
      <alignment wrapText="1"/>
    </xf>
    <xf numFmtId="0" fontId="0" fillId="0" borderId="6" applyAlignment="1" pivotButton="0" quotePrefix="0" xfId="0">
      <alignment wrapText="1"/>
    </xf>
    <xf numFmtId="0" fontId="1" fillId="0" borderId="32" applyAlignment="1" pivotButton="0" quotePrefix="0" xfId="0">
      <alignment horizontal="center" vertical="center" wrapText="1"/>
    </xf>
    <xf numFmtId="0" fontId="7" fillId="4" borderId="37" applyAlignment="1" pivotButton="0" quotePrefix="0" xfId="0">
      <alignment horizontal="center" vertical="center" wrapText="1"/>
    </xf>
    <xf numFmtId="0" fontId="6" fillId="4" borderId="37" applyAlignment="1" pivotButton="0" quotePrefix="0" xfId="0">
      <alignment horizontal="center" vertical="center" wrapText="1"/>
    </xf>
    <xf numFmtId="0" fontId="5" fillId="0" borderId="3" applyAlignment="1" pivotButton="0" quotePrefix="0" xfId="1">
      <alignment vertical="center" wrapText="1"/>
    </xf>
    <xf numFmtId="0" fontId="5" fillId="0" borderId="6" applyAlignment="1" pivotButton="0" quotePrefix="0" xfId="1">
      <alignment vertical="center" wrapText="1"/>
    </xf>
    <xf numFmtId="0" fontId="5" fillId="0" borderId="9" applyAlignment="1" pivotButton="0" quotePrefix="0" xfId="1">
      <alignment vertical="center" wrapText="1"/>
    </xf>
    <xf numFmtId="0" fontId="1" fillId="5" borderId="1" applyAlignment="1" pivotButton="0" quotePrefix="0" xfId="0">
      <alignment horizontal="center" vertical="center" wrapText="1"/>
    </xf>
    <xf numFmtId="0" fontId="6" fillId="6" borderId="37" applyAlignment="1" pivotButton="0" quotePrefix="0" xfId="0">
      <alignment horizontal="center" vertical="center" wrapText="1"/>
    </xf>
    <xf numFmtId="0" fontId="6" fillId="7" borderId="37" applyAlignment="1" pivotButton="0" quotePrefix="0" xfId="0">
      <alignment horizontal="center" vertical="center" wrapText="1"/>
    </xf>
    <xf numFmtId="0" fontId="5" fillId="7" borderId="0" applyAlignment="1" pivotButton="0" quotePrefix="0" xfId="1">
      <alignment horizontal="center" vertical="center" wrapText="1"/>
    </xf>
    <xf numFmtId="0" fontId="7" fillId="6" borderId="37" applyAlignment="1" pivotButton="0" quotePrefix="0" xfId="0">
      <alignment horizontal="center" vertical="center" wrapText="1"/>
    </xf>
    <xf numFmtId="0" fontId="0" fillId="7" borderId="0" applyAlignment="1" pivotButton="0" quotePrefix="0" xfId="0">
      <alignment horizontal="center" vertical="center" wrapText="1"/>
    </xf>
    <xf numFmtId="0" fontId="6" fillId="4" borderId="0" applyAlignment="1" pivotButton="0" quotePrefix="0" xfId="0">
      <alignment horizontal="center" vertical="center" wrapText="1"/>
    </xf>
    <xf numFmtId="0" fontId="6" fillId="0" borderId="0" applyAlignment="1" pivotButton="0" quotePrefix="0" xfId="0">
      <alignment horizontal="center" vertical="center" wrapText="1"/>
    </xf>
    <xf numFmtId="0" fontId="5" fillId="0" borderId="0" applyAlignment="1" pivotButton="0" quotePrefix="0" xfId="1">
      <alignment horizontal="center" vertical="center"/>
    </xf>
    <xf numFmtId="0" fontId="5" fillId="0" borderId="3" applyAlignment="1" pivotButton="0" quotePrefix="0" xfId="1">
      <alignment horizontal="left" vertical="center" wrapText="1"/>
    </xf>
    <xf numFmtId="0" fontId="6" fillId="6" borderId="0" applyAlignment="1" pivotButton="0" quotePrefix="0" xfId="0">
      <alignment horizontal="center" vertical="center" wrapText="1"/>
    </xf>
    <xf numFmtId="0" fontId="10" fillId="0" borderId="0" applyAlignment="1" pivotButton="0" quotePrefix="0" xfId="0">
      <alignment horizontal="center" vertical="center" wrapText="1"/>
    </xf>
    <xf numFmtId="0" fontId="11" fillId="0" borderId="0" applyAlignment="1" pivotButton="0" quotePrefix="0" xfId="0">
      <alignment wrapText="1"/>
    </xf>
    <xf numFmtId="0" fontId="5" fillId="0" borderId="0" applyAlignment="1" pivotButton="0" quotePrefix="0" xfId="1">
      <alignment wrapText="1"/>
    </xf>
    <xf numFmtId="0" fontId="1" fillId="8" borderId="1" applyAlignment="1" pivotButton="0" quotePrefix="0" xfId="0">
      <alignment horizontal="center" vertical="center" wrapText="1"/>
    </xf>
    <xf numFmtId="0" fontId="0" fillId="9" borderId="1" applyAlignment="1" pivotButton="0" quotePrefix="0" xfId="0">
      <alignment horizontal="left" vertical="center" wrapText="1"/>
    </xf>
    <xf numFmtId="0" fontId="0" fillId="10" borderId="24" applyAlignment="1" pivotButton="0" quotePrefix="0" xfId="0">
      <alignment vertical="center" wrapText="1"/>
    </xf>
    <xf numFmtId="0" fontId="0" fillId="1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left" vertical="center" wrapText="1"/>
    </xf>
    <xf numFmtId="0" fontId="5" fillId="0" borderId="9" applyAlignment="1" pivotButton="0" quotePrefix="0" xfId="1">
      <alignment horizontal="left" vertical="center" wrapText="1"/>
    </xf>
    <xf numFmtId="0" fontId="5" fillId="0" borderId="3" applyAlignment="1" pivotButton="0" quotePrefix="0" xfId="1">
      <alignment wrapText="1"/>
    </xf>
    <xf numFmtId="0" fontId="0" fillId="0" borderId="0" applyAlignment="1" pivotButton="0" quotePrefix="0" xfId="0">
      <alignment vertical="center"/>
    </xf>
    <xf numFmtId="0" fontId="1" fillId="0" borderId="37" applyAlignment="1" pivotButton="0" quotePrefix="0" xfId="0">
      <alignment horizontal="center" vertical="center" wrapText="1"/>
    </xf>
    <xf numFmtId="0" fontId="0" fillId="0" borderId="37" applyAlignment="1" pivotButton="0" quotePrefix="0" xfId="0">
      <alignment vertical="center"/>
    </xf>
    <xf numFmtId="0" fontId="5" fillId="0" borderId="37" applyAlignment="1" pivotButton="0" quotePrefix="0" xfId="1">
      <alignment horizontal="left" vertical="center" wrapText="1"/>
    </xf>
    <xf numFmtId="0" fontId="12" fillId="0" borderId="37" applyAlignment="1" pivotButton="0" quotePrefix="0" xfId="0">
      <alignment wrapText="1"/>
    </xf>
    <xf numFmtId="0" fontId="4" fillId="0" borderId="37" applyAlignment="1" pivotButton="0" quotePrefix="0" xfId="0">
      <alignment wrapText="1"/>
    </xf>
    <xf numFmtId="0" fontId="1" fillId="0" borderId="41" applyAlignment="1" pivotButton="0" quotePrefix="0" xfId="0">
      <alignment horizontal="center" vertical="center" wrapText="1"/>
    </xf>
    <xf numFmtId="0" fontId="5" fillId="0" borderId="42" applyAlignment="1" pivotButton="0" quotePrefix="0" xfId="1">
      <alignment horizontal="center" vertical="center" wrapText="1"/>
    </xf>
    <xf numFmtId="0" fontId="5" fillId="0" borderId="42" applyAlignment="1" pivotButton="0" quotePrefix="0" xfId="1">
      <alignment vertical="center" wrapText="1"/>
    </xf>
    <xf numFmtId="0" fontId="4" fillId="0" borderId="44" applyAlignment="1" pivotButton="0" quotePrefix="0" xfId="0">
      <alignment wrapText="1"/>
    </xf>
    <xf numFmtId="0" fontId="1" fillId="0" borderId="44" applyAlignment="1" pivotButton="0" quotePrefix="0" xfId="0">
      <alignment horizontal="center" vertical="center" wrapText="1"/>
    </xf>
    <xf numFmtId="0" fontId="12" fillId="0" borderId="44" applyAlignment="1" pivotButton="0" quotePrefix="0" xfId="0">
      <alignment wrapText="1"/>
    </xf>
    <xf numFmtId="0" fontId="6" fillId="4" borderId="44" applyAlignment="1" pivotButton="0" quotePrefix="0" xfId="0">
      <alignment horizontal="center" vertical="center" wrapText="1"/>
    </xf>
    <xf numFmtId="0" fontId="5" fillId="0" borderId="45" applyAlignment="1" pivotButton="0" quotePrefix="0" xfId="1">
      <alignment vertical="center" wrapText="1"/>
    </xf>
    <xf numFmtId="0" fontId="6" fillId="4" borderId="50" applyAlignment="1" pivotButton="0" quotePrefix="0" xfId="0">
      <alignment horizontal="center" vertical="center" wrapText="1"/>
    </xf>
    <xf numFmtId="0" fontId="2" fillId="3" borderId="51" applyAlignment="1" pivotButton="0" quotePrefix="0" xfId="0">
      <alignment horizontal="center" vertical="center" wrapText="1"/>
    </xf>
    <xf numFmtId="0" fontId="2" fillId="3" borderId="52" applyAlignment="1" pivotButton="0" quotePrefix="0" xfId="0">
      <alignment horizontal="center" vertical="center"/>
    </xf>
    <xf numFmtId="0" fontId="2" fillId="3" borderId="52" applyAlignment="1" pivotButton="0" quotePrefix="0" xfId="0">
      <alignment horizontal="center" vertical="center" wrapText="1"/>
    </xf>
    <xf numFmtId="0" fontId="7" fillId="4" borderId="45" applyAlignment="1" pivotButton="0" quotePrefix="0" xfId="0">
      <alignment horizontal="center" vertical="center" wrapText="1"/>
    </xf>
    <xf numFmtId="0" fontId="0" fillId="0" borderId="50" applyAlignment="1" pivotButton="0" quotePrefix="0" xfId="0">
      <alignment horizontal="center" vertical="center" wrapText="1"/>
    </xf>
    <xf numFmtId="0" fontId="0" fillId="0" borderId="53" applyAlignment="1" pivotButton="0" quotePrefix="0" xfId="0">
      <alignment horizontal="center" vertical="center" wrapText="1"/>
    </xf>
    <xf numFmtId="0" fontId="1" fillId="0" borderId="49" applyAlignment="1" pivotButton="0" quotePrefix="0" xfId="0">
      <alignment horizontal="center" vertical="center" wrapText="1"/>
    </xf>
    <xf numFmtId="0" fontId="0" fillId="0" borderId="40" applyAlignment="1" pivotButton="0" quotePrefix="0" xfId="0">
      <alignment vertical="center"/>
    </xf>
    <xf numFmtId="0" fontId="0" fillId="0" borderId="40" applyAlignment="1" pivotButton="0" quotePrefix="0" xfId="0">
      <alignment horizontal="left" vertical="center" wrapText="1"/>
    </xf>
    <xf numFmtId="0" fontId="1" fillId="0" borderId="40" applyAlignment="1" pivotButton="0" quotePrefix="0" xfId="0">
      <alignment horizontal="center" vertical="center" wrapText="1"/>
    </xf>
    <xf numFmtId="0" fontId="7" fillId="6" borderId="40" applyAlignment="1" pivotButton="0" quotePrefix="0" xfId="0">
      <alignment horizontal="center" vertical="center" wrapText="1"/>
    </xf>
    <xf numFmtId="0" fontId="13" fillId="0" borderId="41" applyAlignment="1" pivotButton="0" quotePrefix="0" xfId="0">
      <alignment horizontal="center" vertical="center" wrapText="1"/>
    </xf>
    <xf numFmtId="0" fontId="13" fillId="0" borderId="43" applyAlignment="1" pivotButton="0" quotePrefix="0" xfId="0">
      <alignment horizontal="center" vertical="center" wrapText="1"/>
    </xf>
    <xf numFmtId="0" fontId="3" fillId="2" borderId="54" applyAlignment="1" pivotButton="0" quotePrefix="0" xfId="0">
      <alignment vertical="center" wrapText="1"/>
    </xf>
    <xf numFmtId="0" fontId="0" fillId="7" borderId="37" applyAlignment="1" pivotButton="0" quotePrefix="0" xfId="0">
      <alignment horizontal="left" vertical="center" wrapText="1"/>
    </xf>
    <xf numFmtId="0" fontId="12" fillId="4" borderId="37" applyAlignment="1" pivotButton="0" quotePrefix="0" xfId="0">
      <alignment wrapText="1"/>
    </xf>
    <xf numFmtId="0" fontId="6" fillId="0" borderId="37" applyAlignment="1" pivotButton="0" quotePrefix="0" xfId="0">
      <alignment horizontal="center" vertical="center" wrapText="1"/>
    </xf>
    <xf numFmtId="0" fontId="0" fillId="0" borderId="8" applyAlignment="1" pivotButton="0" quotePrefix="0" xfId="0">
      <alignment horizontal="center" vertical="center"/>
    </xf>
    <xf numFmtId="0" fontId="5" fillId="0" borderId="9" applyAlignment="1" pivotButton="0" quotePrefix="0" xfId="1">
      <alignment horizontal="left" vertical="center" wrapText="1"/>
    </xf>
    <xf numFmtId="0" fontId="5" fillId="0" borderId="0" applyAlignment="1" pivotButton="0" quotePrefix="0" xfId="1">
      <alignment wrapText="1"/>
    </xf>
    <xf numFmtId="0" fontId="0" fillId="0" borderId="5" applyAlignment="1" pivotButton="0" quotePrefix="0" xfId="0">
      <alignment horizontal="center" vertical="center"/>
    </xf>
    <xf numFmtId="0" fontId="5" fillId="0" borderId="6" applyAlignment="1" pivotButton="0" quotePrefix="0" xfId="1">
      <alignment horizontal="left" vertical="center" wrapText="1"/>
    </xf>
    <xf numFmtId="0" fontId="5" fillId="0" borderId="24" applyAlignment="1" pivotButton="0" quotePrefix="0" xfId="1">
      <alignment vertical="center" wrapText="1"/>
    </xf>
    <xf numFmtId="0" fontId="1" fillId="0" borderId="0" pivotButton="0" quotePrefix="0" xfId="0"/>
    <xf numFmtId="9" fontId="0" fillId="0" borderId="0" pivotButton="0" quotePrefix="0" xfId="0"/>
    <xf numFmtId="0" fontId="1" fillId="2" borderId="0" pivotButton="0" quotePrefix="0" xfId="0"/>
    <xf numFmtId="0" fontId="16" fillId="0" borderId="0" pivotButton="0" quotePrefix="0" xfId="0"/>
    <xf numFmtId="9" fontId="16" fillId="0" borderId="0" pivotButton="0" quotePrefix="0" xfId="0"/>
    <xf numFmtId="0" fontId="17" fillId="0" borderId="0" pivotButton="0" quotePrefix="0" xfId="0"/>
    <xf numFmtId="0" fontId="2" fillId="11" borderId="4" applyAlignment="1" pivotButton="0" quotePrefix="0" xfId="0">
      <alignment horizontal="center" vertical="center" wrapText="1"/>
    </xf>
    <xf numFmtId="0" fontId="2" fillId="11" borderId="5" applyAlignment="1" pivotButton="0" quotePrefix="0" xfId="0">
      <alignment horizontal="center" vertical="center" wrapText="1"/>
    </xf>
    <xf numFmtId="0" fontId="2" fillId="11" borderId="6" applyAlignment="1" pivotButton="0" quotePrefix="0" xfId="0">
      <alignment horizontal="center" vertical="center" wrapText="1"/>
    </xf>
    <xf numFmtId="0" fontId="15" fillId="0" borderId="8" applyAlignment="1" pivotButton="0" quotePrefix="0" xfId="0">
      <alignment horizontal="left" vertical="center" wrapText="1"/>
    </xf>
    <xf numFmtId="0" fontId="0" fillId="4" borderId="5" applyAlignment="1" pivotButton="0" quotePrefix="0" xfId="0">
      <alignment vertical="center" wrapText="1"/>
    </xf>
    <xf numFmtId="0" fontId="0" fillId="3" borderId="1" applyAlignment="1" pivotButton="0" quotePrefix="0" xfId="0">
      <alignment horizontal="left" vertical="center" wrapText="1"/>
    </xf>
    <xf numFmtId="0" fontId="0" fillId="3" borderId="1" applyAlignment="1" pivotButton="0" quotePrefix="0" xfId="0">
      <alignment vertical="center" wrapText="1"/>
    </xf>
    <xf numFmtId="0" fontId="0" fillId="3" borderId="1" applyAlignment="1" pivotButton="0" quotePrefix="0" xfId="0">
      <alignment wrapText="1"/>
    </xf>
    <xf numFmtId="0" fontId="0" fillId="3" borderId="8" applyAlignment="1" pivotButton="0" quotePrefix="0" xfId="0">
      <alignment horizontal="left" vertical="center" wrapText="1"/>
    </xf>
    <xf numFmtId="0" fontId="0" fillId="3" borderId="5" applyAlignment="1" pivotButton="0" quotePrefix="0" xfId="0">
      <alignment vertical="center" wrapText="1"/>
    </xf>
    <xf numFmtId="0" fontId="2" fillId="10" borderId="52" applyAlignment="1" pivotButton="0" quotePrefix="0" xfId="0">
      <alignment horizontal="center" vertical="center" wrapText="1"/>
    </xf>
    <xf numFmtId="0" fontId="0" fillId="10" borderId="37" applyAlignment="1" pivotButton="0" quotePrefix="0" xfId="0">
      <alignment horizontal="left" vertical="center" wrapText="1"/>
    </xf>
    <xf numFmtId="0" fontId="0" fillId="10" borderId="5" applyAlignment="1" pivotButton="0" quotePrefix="0" xfId="0">
      <alignment vertical="center" wrapText="1"/>
    </xf>
    <xf numFmtId="0" fontId="3" fillId="2" borderId="0" applyAlignment="1" pivotButton="0" quotePrefix="0" xfId="0">
      <alignment vertical="center" wrapText="1"/>
    </xf>
    <xf numFmtId="0" fontId="1" fillId="4" borderId="0" pivotButton="0" quotePrefix="0" xfId="0"/>
    <xf numFmtId="0" fontId="1" fillId="12" borderId="0" pivotButton="0" quotePrefix="0" xfId="0"/>
    <xf numFmtId="0" fontId="19" fillId="0" borderId="0" pivotButton="0" quotePrefix="0" xfId="0"/>
    <xf numFmtId="0" fontId="20" fillId="0" borderId="0" pivotButton="0" quotePrefix="0" xfId="0"/>
    <xf numFmtId="0" fontId="21" fillId="4" borderId="0" applyAlignment="1" pivotButton="0" quotePrefix="0" xfId="1">
      <alignment horizontal="center" vertical="center" wrapText="1"/>
    </xf>
    <xf numFmtId="0" fontId="12" fillId="10" borderId="37" applyAlignment="1" pivotButton="0" quotePrefix="0" xfId="0">
      <alignment horizontal="center" vertical="center" wrapText="1"/>
    </xf>
    <xf numFmtId="0" fontId="0" fillId="4" borderId="1" applyAlignment="1" pivotButton="0" quotePrefix="0" xfId="0">
      <alignment vertical="center" wrapText="1"/>
    </xf>
    <xf numFmtId="0" fontId="22" fillId="0" borderId="0" pivotButton="0" quotePrefix="0" xfId="0"/>
    <xf numFmtId="0" fontId="0" fillId="0" borderId="71" applyAlignment="1" pivotButton="0" quotePrefix="0" xfId="0">
      <alignment horizontal="left" vertical="center" wrapText="1"/>
    </xf>
    <xf numFmtId="0" fontId="0" fillId="0" borderId="0" applyAlignment="1" pivotButton="0" quotePrefix="0" xfId="0">
      <alignment horizontal="left" vertical="center" wrapText="1"/>
    </xf>
    <xf numFmtId="0" fontId="5" fillId="0" borderId="71" applyAlignment="1" pivotButton="0" quotePrefix="0" xfId="1">
      <alignment horizontal="left" vertical="center" wrapText="1"/>
    </xf>
    <xf numFmtId="0" fontId="5" fillId="0" borderId="0" applyAlignment="1" pivotButton="0" quotePrefix="0" xfId="1">
      <alignment horizontal="left" vertical="center" wrapText="1"/>
    </xf>
    <xf numFmtId="0" fontId="2" fillId="3" borderId="55" applyAlignment="1" pivotButton="0" quotePrefix="0" xfId="0">
      <alignment horizontal="center" vertical="center" wrapText="1"/>
    </xf>
    <xf numFmtId="0" fontId="25" fillId="13" borderId="0" applyAlignment="1" pivotButton="0" quotePrefix="0" xfId="0">
      <alignment wrapText="1"/>
    </xf>
    <xf numFmtId="0" fontId="26" fillId="14" borderId="51" applyAlignment="1" pivotButton="0" quotePrefix="0" xfId="0">
      <alignment wrapText="1"/>
    </xf>
    <xf numFmtId="0" fontId="26" fillId="14" borderId="61" applyAlignment="1" pivotButton="0" quotePrefix="0" xfId="0">
      <alignment wrapText="1"/>
    </xf>
    <xf numFmtId="0" fontId="4" fillId="0" borderId="7" applyAlignment="1" pivotButton="0" quotePrefix="0" xfId="0">
      <alignment wrapText="1"/>
    </xf>
    <xf numFmtId="0" fontId="4" fillId="0" borderId="19" applyAlignment="1" pivotButton="0" quotePrefix="0" xfId="0">
      <alignment wrapText="1"/>
    </xf>
    <xf numFmtId="0" fontId="4" fillId="0" borderId="38" applyAlignment="1" pivotButton="0" quotePrefix="0" xfId="0">
      <alignment wrapText="1"/>
    </xf>
    <xf numFmtId="0" fontId="28" fillId="0" borderId="8" applyAlignment="1" pivotButton="0" quotePrefix="0" xfId="0">
      <alignment wrapText="1"/>
    </xf>
    <xf numFmtId="0" fontId="28" fillId="13" borderId="8" applyAlignment="1" pivotButton="0" quotePrefix="0" xfId="0">
      <alignment wrapText="1"/>
    </xf>
    <xf numFmtId="0" fontId="5" fillId="0" borderId="18" applyAlignment="1" pivotButton="0" quotePrefix="0" xfId="1">
      <alignment wrapText="1"/>
    </xf>
    <xf numFmtId="0" fontId="29" fillId="0" borderId="61" applyAlignment="1" pivotButton="0" quotePrefix="0" xfId="0">
      <alignment wrapText="1"/>
    </xf>
    <xf numFmtId="0" fontId="30" fillId="15" borderId="39" applyAlignment="1" pivotButton="0" quotePrefix="0" xfId="0">
      <alignment wrapText="1"/>
    </xf>
    <xf numFmtId="0" fontId="28" fillId="16" borderId="8" applyAlignment="1" pivotButton="0" quotePrefix="0" xfId="0">
      <alignment wrapText="1"/>
    </xf>
    <xf numFmtId="0" fontId="5" fillId="0" borderId="0" applyAlignment="1" pivotButton="0" quotePrefix="0" xfId="1">
      <alignment wrapText="1"/>
    </xf>
    <xf numFmtId="0" fontId="29" fillId="0" borderId="73" applyAlignment="1" pivotButton="0" quotePrefix="0" xfId="0">
      <alignment wrapText="1"/>
    </xf>
    <xf numFmtId="0" fontId="30" fillId="15" borderId="74" applyAlignment="1" pivotButton="0" quotePrefix="0" xfId="0">
      <alignment wrapText="1"/>
    </xf>
    <xf numFmtId="0" fontId="5" fillId="0" borderId="75" applyAlignment="1" pivotButton="0" quotePrefix="0" xfId="1">
      <alignment wrapText="1"/>
    </xf>
    <xf numFmtId="0" fontId="5" fillId="0" borderId="70" applyAlignment="1" pivotButton="0" quotePrefix="0" xfId="1">
      <alignment wrapText="1"/>
    </xf>
    <xf numFmtId="0" fontId="5" fillId="0" borderId="61" applyAlignment="1" pivotButton="0" quotePrefix="0" xfId="1">
      <alignment wrapText="1"/>
    </xf>
    <xf numFmtId="0" fontId="4" fillId="0" borderId="0" applyAlignment="1" pivotButton="0" quotePrefix="0" xfId="0">
      <alignment wrapText="1"/>
    </xf>
    <xf numFmtId="0" fontId="5" fillId="0" borderId="0" applyAlignment="1" pivotButton="0" quotePrefix="0" xfId="1">
      <alignment horizontal="center" vertical="center" wrapText="1"/>
    </xf>
    <xf numFmtId="0" fontId="0" fillId="0" borderId="8" applyAlignment="1" pivotButton="0" quotePrefix="0" xfId="0">
      <alignment horizontal="left" vertical="center" wrapText="1"/>
    </xf>
    <xf numFmtId="0" fontId="0" fillId="0" borderId="8" applyAlignment="1" pivotButton="0" quotePrefix="0" xfId="0">
      <alignment horizontal="center" vertical="center" wrapText="1"/>
    </xf>
    <xf numFmtId="0" fontId="5" fillId="0" borderId="56" applyAlignment="1" pivotButton="0" quotePrefix="0" xfId="1">
      <alignment horizontal="center" vertical="center" wrapText="1"/>
    </xf>
    <xf numFmtId="0" fontId="5" fillId="0" borderId="57" applyAlignment="1" pivotButton="0" quotePrefix="0" xfId="1">
      <alignment horizontal="center" vertical="center" wrapText="1"/>
    </xf>
    <xf numFmtId="0" fontId="5" fillId="0" borderId="39" applyAlignment="1" pivotButton="0" quotePrefix="0" xfId="1">
      <alignment horizontal="center" vertical="center" wrapText="1"/>
    </xf>
    <xf numFmtId="0" fontId="5" fillId="0" borderId="56" applyAlignment="1" pivotButton="0" quotePrefix="0" xfId="1">
      <alignment horizontal="left" vertical="center" wrapText="1"/>
    </xf>
    <xf numFmtId="0" fontId="5" fillId="0" borderId="57" applyAlignment="1" pivotButton="0" quotePrefix="0" xfId="1">
      <alignment horizontal="left" vertical="center" wrapText="1"/>
    </xf>
    <xf numFmtId="0" fontId="5" fillId="0" borderId="39" applyAlignment="1" pivotButton="0" quotePrefix="0" xfId="1">
      <alignment horizontal="left" vertical="center" wrapText="1"/>
    </xf>
    <xf numFmtId="0" fontId="0" fillId="0" borderId="37" applyAlignment="1" pivotButton="0" quotePrefix="0" xfId="0">
      <alignment horizontal="left" vertical="center" wrapText="1"/>
    </xf>
    <xf numFmtId="0" fontId="3" fillId="2" borderId="31" applyAlignment="1" pivotButton="0" quotePrefix="0" xfId="0">
      <alignment horizontal="center" vertical="center" wrapText="1"/>
    </xf>
    <xf numFmtId="0" fontId="3" fillId="2" borderId="33" applyAlignment="1" pivotButton="0" quotePrefix="0" xfId="0">
      <alignment horizontal="center" vertical="center" wrapText="1"/>
    </xf>
    <xf numFmtId="0" fontId="3" fillId="2" borderId="34" applyAlignment="1" pivotButton="0" quotePrefix="0" xfId="0">
      <alignment horizontal="center" vertical="center" wrapText="1"/>
    </xf>
    <xf numFmtId="0" fontId="5" fillId="0" borderId="0" applyAlignment="1" pivotButton="0" quotePrefix="0" xfId="1">
      <alignment horizontal="center" vertical="center" wrapText="1"/>
    </xf>
    <xf numFmtId="0" fontId="0" fillId="0" borderId="16" applyAlignment="1" pivotButton="0" quotePrefix="0" xfId="0">
      <alignment horizontal="left" vertical="center" wrapText="1"/>
    </xf>
    <xf numFmtId="0" fontId="0" fillId="0" borderId="8" applyAlignment="1" pivotButton="0" quotePrefix="0" xfId="0">
      <alignment horizontal="left" vertical="center" wrapText="1"/>
    </xf>
    <xf numFmtId="0" fontId="3" fillId="2" borderId="10" applyAlignment="1" pivotButton="0" quotePrefix="0" xfId="0">
      <alignment horizontal="center" vertical="center" wrapText="1"/>
    </xf>
    <xf numFmtId="0" fontId="3" fillId="2" borderId="11" applyAlignment="1" pivotButton="0" quotePrefix="0" xfId="0">
      <alignment vertical="center" wrapText="1"/>
    </xf>
    <xf numFmtId="0" fontId="3" fillId="2" borderId="12" applyAlignment="1" pivotButton="0" quotePrefix="0" xfId="0">
      <alignment vertical="center" wrapText="1"/>
    </xf>
    <xf numFmtId="0" fontId="0" fillId="0" borderId="17" applyAlignment="1" pivotButton="0" quotePrefix="0" xfId="0">
      <alignment horizontal="left" vertical="center" wrapText="1"/>
    </xf>
    <xf numFmtId="0" fontId="0" fillId="0" borderId="16" applyAlignment="1" pivotButton="0" quotePrefix="0" xfId="0">
      <alignment horizontal="center" vertical="center" wrapText="1"/>
    </xf>
    <xf numFmtId="0" fontId="0" fillId="0" borderId="8" applyAlignment="1" pivotButton="0" quotePrefix="0" xfId="0">
      <alignment horizontal="center" vertical="center" wrapText="1"/>
    </xf>
    <xf numFmtId="0" fontId="23" fillId="13" borderId="68" applyAlignment="1" pivotButton="0" quotePrefix="0" xfId="0">
      <alignment wrapText="1"/>
    </xf>
    <xf numFmtId="0" fontId="23" fillId="13" borderId="69" applyAlignment="1" pivotButton="0" quotePrefix="0" xfId="0">
      <alignment wrapText="1"/>
    </xf>
    <xf numFmtId="0" fontId="23" fillId="13" borderId="72" applyAlignment="1" pivotButton="0" quotePrefix="0" xfId="0">
      <alignment wrapText="1"/>
    </xf>
    <xf numFmtId="0" fontId="0" fillId="0" borderId="37" applyAlignment="1" pivotButton="0" quotePrefix="0" xfId="0">
      <alignment horizontal="left" vertical="center"/>
    </xf>
    <xf numFmtId="0" fontId="0" fillId="0" borderId="37" applyAlignment="1" pivotButton="0" quotePrefix="0" xfId="0">
      <alignment horizontal="left" vertical="center" wrapText="1"/>
    </xf>
    <xf numFmtId="0" fontId="3" fillId="2" borderId="46" applyAlignment="1" pivotButton="0" quotePrefix="0" xfId="0">
      <alignment horizontal="center" vertical="center" wrapText="1"/>
    </xf>
    <xf numFmtId="0" fontId="3" fillId="2" borderId="47" applyAlignment="1" pivotButton="0" quotePrefix="0" xfId="0">
      <alignment vertical="center" wrapText="1"/>
    </xf>
    <xf numFmtId="0" fontId="3" fillId="2" borderId="48" applyAlignment="1" pivotButton="0" quotePrefix="0" xfId="0">
      <alignment vertical="center" wrapText="1"/>
    </xf>
    <xf numFmtId="0" fontId="0" fillId="0" borderId="37" applyAlignment="1" pivotButton="0" quotePrefix="0" xfId="0">
      <alignment horizontal="center" vertical="center" wrapText="1"/>
    </xf>
    <xf numFmtId="0" fontId="5" fillId="0" borderId="56" applyAlignment="1" pivotButton="0" quotePrefix="0" xfId="1">
      <alignment horizontal="center" vertical="center" wrapText="1"/>
    </xf>
    <xf numFmtId="0" fontId="5" fillId="0" borderId="57" applyAlignment="1" pivotButton="0" quotePrefix="0" xfId="1">
      <alignment horizontal="center" vertical="center" wrapText="1"/>
    </xf>
    <xf numFmtId="0" fontId="5" fillId="0" borderId="39" applyAlignment="1" pivotButton="0" quotePrefix="0" xfId="1">
      <alignment horizontal="center" vertical="center" wrapText="1"/>
    </xf>
    <xf numFmtId="0" fontId="0" fillId="0" borderId="58" applyAlignment="1" pivotButton="0" quotePrefix="0" xfId="0">
      <alignment horizontal="center" vertical="center" wrapText="1"/>
    </xf>
    <xf numFmtId="0" fontId="0" fillId="0" borderId="59" applyAlignment="1" pivotButton="0" quotePrefix="0" xfId="0">
      <alignment horizontal="center" vertical="center" wrapText="1"/>
    </xf>
    <xf numFmtId="0" fontId="0" fillId="0" borderId="60" applyAlignment="1" pivotButton="0" quotePrefix="0" xfId="0">
      <alignment horizontal="center" vertical="center" wrapText="1"/>
    </xf>
    <xf numFmtId="0" fontId="0" fillId="0" borderId="56" applyAlignment="1" pivotButton="0" quotePrefix="0" xfId="0">
      <alignment horizontal="center" vertical="center" wrapText="1"/>
    </xf>
    <xf numFmtId="0" fontId="0" fillId="0" borderId="57" applyAlignment="1" pivotButton="0" quotePrefix="0" xfId="0">
      <alignment horizontal="center" vertical="center" wrapText="1"/>
    </xf>
    <xf numFmtId="0" fontId="0" fillId="0" borderId="39" applyAlignment="1" pivotButton="0" quotePrefix="0" xfId="0">
      <alignment horizontal="center" vertical="center" wrapText="1"/>
    </xf>
    <xf numFmtId="0" fontId="5" fillId="0" borderId="37" applyAlignment="1" pivotButton="0" quotePrefix="0" xfId="1">
      <alignment horizontal="left" vertical="center" wrapText="1"/>
    </xf>
    <xf numFmtId="0" fontId="5" fillId="0" borderId="62" applyAlignment="1" pivotButton="0" quotePrefix="0" xfId="1">
      <alignment horizontal="center" vertical="center" wrapText="1"/>
    </xf>
    <xf numFmtId="0" fontId="5" fillId="0" borderId="63" applyAlignment="1" pivotButton="0" quotePrefix="0" xfId="1">
      <alignment horizontal="center" vertical="center" wrapText="1"/>
    </xf>
    <xf numFmtId="0" fontId="5" fillId="0" borderId="64" applyAlignment="1" pivotButton="0" quotePrefix="0" xfId="1">
      <alignment horizontal="center" vertical="center" wrapText="1"/>
    </xf>
    <xf numFmtId="0" fontId="0" fillId="0" borderId="56" applyAlignment="1" pivotButton="0" quotePrefix="0" xfId="0">
      <alignment horizontal="left" vertical="center" wrapText="1"/>
    </xf>
    <xf numFmtId="0" fontId="0" fillId="0" borderId="57" applyAlignment="1" pivotButton="0" quotePrefix="0" xfId="0">
      <alignment horizontal="left" vertical="center" wrapText="1"/>
    </xf>
    <xf numFmtId="0" fontId="0" fillId="0" borderId="39" applyAlignment="1" pivotButton="0" quotePrefix="0" xfId="0">
      <alignment horizontal="left" vertical="center" wrapText="1"/>
    </xf>
    <xf numFmtId="0" fontId="5" fillId="0" borderId="56" applyAlignment="1" pivotButton="0" quotePrefix="0" xfId="1">
      <alignment horizontal="left" vertical="center" wrapText="1"/>
    </xf>
    <xf numFmtId="0" fontId="5" fillId="0" borderId="57" applyAlignment="1" pivotButton="0" quotePrefix="0" xfId="1">
      <alignment horizontal="left" vertical="center" wrapText="1"/>
    </xf>
    <xf numFmtId="0" fontId="5" fillId="0" borderId="39" applyAlignment="1" pivotButton="0" quotePrefix="0" xfId="1">
      <alignment horizontal="left" vertical="center" wrapText="1"/>
    </xf>
    <xf numFmtId="0" fontId="3" fillId="2" borderId="20" applyAlignment="1" pivotButton="0" quotePrefix="0" xfId="0">
      <alignment horizontal="center" vertical="center" wrapText="1"/>
    </xf>
    <xf numFmtId="0" fontId="3" fillId="2" borderId="21" applyAlignment="1" pivotButton="0" quotePrefix="0" xfId="0">
      <alignment vertical="center" wrapText="1"/>
    </xf>
    <xf numFmtId="0" fontId="3" fillId="2" borderId="23" applyAlignment="1" pivotButton="0" quotePrefix="0" xfId="0">
      <alignment vertical="center" wrapText="1"/>
    </xf>
    <xf numFmtId="0" fontId="3" fillId="2" borderId="22" applyAlignment="1" pivotButton="0" quotePrefix="0" xfId="0">
      <alignment vertical="center" wrapText="1"/>
    </xf>
    <xf numFmtId="0" fontId="3" fillId="2" borderId="65" applyAlignment="1" pivotButton="0" quotePrefix="0" xfId="0">
      <alignment horizontal="center" vertical="center" wrapText="1"/>
    </xf>
    <xf numFmtId="0" fontId="3" fillId="2" borderId="66" applyAlignment="1" pivotButton="0" quotePrefix="0" xfId="0">
      <alignment horizontal="center" vertical="center" wrapText="1"/>
    </xf>
    <xf numFmtId="0" fontId="3" fillId="2" borderId="67" applyAlignment="1" pivotButton="0" quotePrefix="0" xfId="0">
      <alignment horizontal="center" vertical="center" wrapText="1"/>
    </xf>
    <xf numFmtId="0" fontId="0" fillId="0" borderId="76" pivotButton="0" quotePrefix="0" xfId="0"/>
    <xf numFmtId="0" fontId="0" fillId="0" borderId="77" pivotButton="0" quotePrefix="0" xfId="0"/>
    <xf numFmtId="0" fontId="0" fillId="0" borderId="69" pivotButton="0" quotePrefix="0" xfId="0"/>
    <xf numFmtId="0" fontId="0" fillId="0" borderId="36" pivotButton="0" quotePrefix="0" xfId="0"/>
    <xf numFmtId="0" fontId="0" fillId="0" borderId="1" applyAlignment="1" pivotButton="0" quotePrefix="0" xfId="0">
      <alignment horizontal="center" vertical="center" wrapText="1"/>
    </xf>
    <xf numFmtId="0" fontId="0" fillId="0" borderId="8" pivotButton="0" quotePrefix="0" xfId="0"/>
    <xf numFmtId="0" fontId="0" fillId="0" borderId="17" pivotButton="0" quotePrefix="0" xfId="0"/>
    <xf numFmtId="0" fontId="23" fillId="13" borderId="78" applyAlignment="1" pivotButton="0" quotePrefix="0" xfId="0">
      <alignment wrapText="1"/>
    </xf>
    <xf numFmtId="0" fontId="0" fillId="0" borderId="72" pivotButton="0" quotePrefix="0" xfId="0"/>
    <xf numFmtId="0" fontId="0" fillId="0" borderId="75" pivotButton="0" quotePrefix="0" xfId="0"/>
    <xf numFmtId="0" fontId="0" fillId="0" borderId="70" pivotButton="0" quotePrefix="0" xfId="0"/>
    <xf numFmtId="0" fontId="0" fillId="0" borderId="86" applyAlignment="1" pivotButton="0" quotePrefix="0" xfId="0">
      <alignment horizontal="center" vertical="center" wrapText="1"/>
    </xf>
    <xf numFmtId="0" fontId="0" fillId="0" borderId="59" pivotButton="0" quotePrefix="0" xfId="0"/>
    <xf numFmtId="0" fontId="0" fillId="0" borderId="60" pivotButton="0" quotePrefix="0" xfId="0"/>
    <xf numFmtId="0" fontId="5" fillId="0" borderId="37" applyAlignment="1" pivotButton="0" quotePrefix="0" xfId="1">
      <alignment horizontal="center" vertical="center" wrapText="1"/>
    </xf>
    <xf numFmtId="0" fontId="0" fillId="0" borderId="57" pivotButton="0" quotePrefix="0" xfId="0"/>
    <xf numFmtId="0" fontId="0" fillId="0" borderId="39" pivotButton="0" quotePrefix="0" xfId="0"/>
    <xf numFmtId="0" fontId="0" fillId="0" borderId="40" pivotButton="0" quotePrefix="0" xfId="0"/>
    <xf numFmtId="0" fontId="0" fillId="0" borderId="83" pivotButton="0" quotePrefix="0" xfId="0"/>
    <xf numFmtId="0" fontId="5" fillId="0" borderId="0" pivotButton="0" quotePrefix="0" xfId="1"/>
    <xf numFmtId="0" fontId="5" fillId="0" borderId="44" applyAlignment="1" pivotButton="0" quotePrefix="0" xfId="1">
      <alignment horizontal="center" vertical="center" wrapText="1"/>
    </xf>
    <xf numFmtId="0" fontId="0" fillId="0" borderId="63" pivotButton="0" quotePrefix="0" xfId="0"/>
    <xf numFmtId="0" fontId="0" fillId="0" borderId="64" pivotButton="0" quotePrefix="0" xfId="0"/>
    <xf numFmtId="0" fontId="0" fillId="0" borderId="66" pivotButton="0" quotePrefix="0" xfId="0"/>
    <xf numFmtId="0" fontId="0" fillId="0" borderId="87" pivotButton="0" quotePrefix="0" xfId="0"/>
    <xf numFmtId="0" fontId="3" fillId="2" borderId="32" applyAlignment="1" pivotButton="0" quotePrefix="0" xfId="0">
      <alignment horizontal="center" vertical="center" wrapText="1"/>
    </xf>
    <xf numFmtId="0" fontId="0" fillId="0" borderId="67" pivotButton="0" quotePrefix="0" xfId="0"/>
  </cellXfs>
  <cellStyles count="2">
    <cellStyle name="Normal" xfId="0" builtinId="0"/>
    <cellStyle name="Hyperlink" xfId="1" builtinId="8"/>
  </cellStyles>
  <dxfs count="51">
    <dxf>
      <fill>
        <patternFill>
          <bgColor theme="9"/>
        </patternFill>
      </fill>
    </dxf>
    <dxf>
      <fill>
        <patternFill>
          <bgColor theme="9"/>
        </patternFill>
      </fill>
    </dxf>
    <dxf>
      <fill>
        <patternFill>
          <bgColor theme="1" tint="0.499984740745262"/>
        </patternFill>
      </fill>
    </dxf>
    <dxf>
      <fill>
        <patternFill>
          <bgColor rgb="FFFFC000"/>
        </patternFill>
      </fill>
    </dxf>
    <dxf>
      <fill>
        <patternFill>
          <bgColor theme="9"/>
        </patternFill>
      </fill>
    </dxf>
    <dxf>
      <fill>
        <patternFill>
          <bgColor rgb="FFC00000"/>
        </patternFill>
      </fill>
    </dxf>
    <dxf>
      <fill>
        <patternFill>
          <bgColor theme="9"/>
        </patternFill>
      </fill>
    </dxf>
    <dxf>
      <fill>
        <patternFill>
          <bgColor theme="9"/>
        </patternFill>
      </fill>
    </dxf>
    <dxf>
      <fill>
        <patternFill>
          <bgColor theme="1" tint="0.499984740745262"/>
        </patternFill>
      </fill>
    </dxf>
    <dxf>
      <fill>
        <patternFill>
          <bgColor rgb="FFFFC000"/>
        </patternFill>
      </fill>
    </dxf>
    <dxf>
      <fill>
        <patternFill>
          <bgColor theme="9"/>
        </patternFill>
      </fill>
    </dxf>
    <dxf>
      <fill>
        <patternFill>
          <bgColor rgb="FFC00000"/>
        </patternFill>
      </fill>
    </dxf>
    <dxf>
      <fill>
        <patternFill>
          <bgColor theme="9"/>
        </patternFill>
      </fill>
    </dxf>
    <dxf>
      <fill>
        <patternFill>
          <bgColor theme="9"/>
        </patternFill>
      </fill>
    </dxf>
    <dxf>
      <fill>
        <patternFill>
          <bgColor theme="1" tint="0.499984740745262"/>
        </patternFill>
      </fill>
    </dxf>
    <dxf>
      <fill>
        <patternFill>
          <bgColor rgb="FFFFC000"/>
        </patternFill>
      </fill>
    </dxf>
    <dxf>
      <fill>
        <patternFill>
          <bgColor theme="9"/>
        </patternFill>
      </fill>
    </dxf>
    <dxf>
      <fill>
        <patternFill>
          <bgColor rgb="FFC00000"/>
        </patternFill>
      </fill>
    </dxf>
    <dxf>
      <fill>
        <patternFill>
          <bgColor theme="9"/>
        </patternFill>
      </fill>
    </dxf>
    <dxf>
      <fill>
        <patternFill>
          <bgColor theme="9"/>
        </patternFill>
      </fill>
    </dxf>
    <dxf>
      <fill>
        <patternFill>
          <bgColor theme="9"/>
        </patternFill>
      </fill>
    </dxf>
    <dxf>
      <fill>
        <patternFill>
          <bgColor theme="1" tint="0.499984740745262"/>
        </patternFill>
      </fill>
    </dxf>
    <dxf>
      <fill>
        <patternFill>
          <bgColor rgb="FFFFC000"/>
        </patternFill>
      </fill>
    </dxf>
    <dxf>
      <fill>
        <patternFill>
          <bgColor theme="9"/>
        </patternFill>
      </fill>
    </dxf>
    <dxf>
      <fill>
        <patternFill>
          <bgColor rgb="FFC00000"/>
        </patternFill>
      </fill>
    </dxf>
    <dxf>
      <fill>
        <patternFill>
          <bgColor theme="9"/>
        </patternFill>
      </fill>
    </dxf>
    <dxf>
      <fill>
        <patternFill>
          <bgColor theme="9"/>
        </patternFill>
      </fill>
    </dxf>
    <dxf>
      <fill>
        <patternFill>
          <bgColor theme="9"/>
        </patternFill>
      </fill>
    </dxf>
    <dxf>
      <fill>
        <patternFill>
          <bgColor theme="1" tint="0.499984740745262"/>
        </patternFill>
      </fill>
    </dxf>
    <dxf>
      <fill>
        <patternFill>
          <bgColor rgb="FFFFC000"/>
        </patternFill>
      </fill>
    </dxf>
    <dxf>
      <fill>
        <patternFill>
          <bgColor theme="9"/>
        </patternFill>
      </fill>
    </dxf>
    <dxf>
      <fill>
        <patternFill>
          <bgColor rgb="FFC00000"/>
        </patternFill>
      </fill>
    </dxf>
    <dxf>
      <fill>
        <patternFill>
          <bgColor theme="9"/>
        </patternFill>
      </fill>
    </dxf>
    <dxf>
      <fill>
        <patternFill>
          <bgColor theme="9"/>
        </patternFill>
      </fill>
    </dxf>
    <dxf>
      <fill>
        <patternFill>
          <bgColor theme="1" tint="0.499984740745262"/>
        </patternFill>
      </fill>
    </dxf>
    <dxf>
      <fill>
        <patternFill>
          <bgColor rgb="FFFFC000"/>
        </patternFill>
      </fill>
    </dxf>
    <dxf>
      <fill>
        <patternFill>
          <bgColor theme="9"/>
        </patternFill>
      </fill>
    </dxf>
    <dxf>
      <fill>
        <patternFill>
          <bgColor rgb="FFC00000"/>
        </patternFill>
      </fill>
    </dxf>
    <dxf>
      <fill>
        <patternFill>
          <bgColor theme="9"/>
        </patternFill>
      </fill>
    </dxf>
    <dxf>
      <fill>
        <patternFill>
          <bgColor theme="9"/>
        </patternFill>
      </fill>
    </dxf>
    <dxf>
      <fill>
        <patternFill>
          <bgColor theme="9"/>
        </patternFill>
      </fill>
    </dxf>
    <dxf>
      <fill>
        <patternFill>
          <bgColor theme="1" tint="0.499984740745262"/>
        </patternFill>
      </fill>
    </dxf>
    <dxf>
      <fill>
        <patternFill>
          <bgColor rgb="FFFFC000"/>
        </patternFill>
      </fill>
    </dxf>
    <dxf>
      <fill>
        <patternFill>
          <bgColor theme="9"/>
        </patternFill>
      </fill>
    </dxf>
    <dxf>
      <fill>
        <patternFill>
          <bgColor rgb="FFC00000"/>
        </patternFill>
      </fill>
    </dxf>
    <dxf>
      <fill>
        <patternFill>
          <bgColor theme="9"/>
        </patternFill>
      </fill>
    </dxf>
    <dxf>
      <fill>
        <patternFill>
          <bgColor theme="9"/>
        </patternFill>
      </fill>
    </dxf>
    <dxf>
      <fill>
        <patternFill>
          <bgColor theme="1" tint="0.499984740745262"/>
        </patternFill>
      </fill>
    </dxf>
    <dxf>
      <fill>
        <patternFill>
          <bgColor rgb="FFFFC000"/>
        </patternFill>
      </fill>
    </dxf>
    <dxf>
      <fill>
        <patternFill>
          <bgColor theme="9"/>
        </patternFill>
      </fill>
    </dxf>
    <dxf>
      <fill>
        <patternFill>
          <bgColor rgb="FFC0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tc={286135C0-A14D-4261-9A00-C6C3AF5AFE85}</author>
    <author>tc={5EB93328-606B-4EAF-A6E8-94648B63ED97}</author>
  </authors>
  <commentList>
    <comment ref="G5" authorId="0" shapeId="0">
      <text>
        <t>[Threaded comment]
Your version of Excel allows you to read this threaded comment; however, any edits to it will get removed if the file is opened in a newer version of Excel. Learn more: https://go.microsoft.com/fwlink/?linkid=870924
Comment:
    Kindly check the evidences and you will see the server ip 10.222.110.22)</t>
      </text>
    </comment>
    <comment ref="G10" authorId="1" shapeId="0">
      <text>
        <t>[Threaded comment]
Your version of Excel allows you to read this threaded comment; however, any edits to it will get removed if the file is opened in a newer version of Excel. Learn more: https://go.microsoft.com/fwlink/?linkid=870924
Comment:
    https://ejabi-infosec.box.com/s/nqhl3t2esa50qdao1bmfjeh4yn94n88f</t>
      </text>
    </comment>
  </commentList>
</comments>
</file>

<file path=xl/comments/comment2.xml><?xml version="1.0" encoding="utf-8"?>
<comments xmlns="http://schemas.openxmlformats.org/spreadsheetml/2006/main">
  <authors>
    <author>tc={3513A05D-0F46-4DC3-8A57-4F8FFA96A588}</author>
  </authors>
  <commentList>
    <comment ref="G21" authorId="0" shapeId="0">
      <text>
        <t>[Threaded comment]
Your version of Excel allows you to read this threaded comment; however, any edits to it will get removed if the file is opened in a newer version of Excel. Learn more: https://go.microsoft.com/fwlink/?linkid=870924
Comment:
    We can discuss that tomorrow's meeting 13 aug and if you want also can rise your points then we provide our feedback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ejabi-infosec.box.com/s/8fc502l9z2d6d0emp3dr0qhqfdl5nebk" TargetMode="External" Id="rId1"/><Relationship Type="http://schemas.openxmlformats.org/officeDocument/2006/relationships/hyperlink" Target="https://ejabi-infosec.box.com/s/8fc502l9z2d6d0emp3dr0qhqfdl5nebk" TargetMode="External" Id="rId2"/><Relationship Type="http://schemas.openxmlformats.org/officeDocument/2006/relationships/hyperlink" Target="https://ejabi-infosec.box.com/s/8fc502l9z2d6d0emp3dr0qhqfdl5nebk" TargetMode="External" Id="rId3"/><Relationship Type="http://schemas.openxmlformats.org/officeDocument/2006/relationships/hyperlink" Target="https://fibtask.atlassian.net/browse/FIBXPI-1083" TargetMode="External" Id="rId4"/><Relationship Type="http://schemas.openxmlformats.org/officeDocument/2006/relationships/hyperlink" Target="https://fibtask.atlassian.net/browse/FIBXPI-1084" TargetMode="External" Id="rId5"/><Relationship Type="http://schemas.openxmlformats.org/officeDocument/2006/relationships/hyperlink" Target="https://ejabi-infosec.box.com/s/riypvdlxpfvtu65g1mni6kub60rw9znp" TargetMode="External" Id="rId6"/><Relationship Type="http://schemas.openxmlformats.org/officeDocument/2006/relationships/hyperlink" Target="https://fibtask.atlassian.net/browse/FIBXPI-1085" TargetMode="External" Id="rId7"/><Relationship Type="http://schemas.openxmlformats.org/officeDocument/2006/relationships/hyperlink" Target="https://fibtask.atlassian.net/browse/FIBXPI-1086" TargetMode="External" Id="rId8"/><Relationship Type="http://schemas.openxmlformats.org/officeDocument/2006/relationships/hyperlink" Target="https://ejabi-infosec.box.com/s/4f8t1racdoixsohbzq1rqlfqe8yuloon" TargetMode="External" Id="rId9"/><Relationship Type="http://schemas.openxmlformats.org/officeDocument/2006/relationships/hyperlink" Target="https://fibtask.atlassian.net/browse/FIBXPI-1087" TargetMode="External" Id="rId10"/><Relationship Type="http://schemas.openxmlformats.org/officeDocument/2006/relationships/hyperlink" Target="https://fibtask.atlassian.net/browse/FIBXPI-1088" TargetMode="External" Id="rId11"/><Relationship Type="http://schemas.openxmlformats.org/officeDocument/2006/relationships/hyperlink" Target="https://fibtask.atlassian.net/browse/FIBXPI-1089" TargetMode="External" Id="rId12"/></Relationships>
</file>

<file path=xl/worksheets/_rels/sheet2.xml.rels><Relationships xmlns="http://schemas.openxmlformats.org/package/2006/relationships"><Relationship Type="http://schemas.openxmlformats.org/officeDocument/2006/relationships/hyperlink" Target="https://fibtask.atlassian.net/browse/FIBXPI-1090" TargetMode="External" Id="rId1"/><Relationship Type="http://schemas.openxmlformats.org/officeDocument/2006/relationships/hyperlink" Target="https://ejabi-infosec.box.com/s/oubt9s34kwrnwrbghl0dlsew5jkln701" TargetMode="External" Id="rId2"/><Relationship Type="http://schemas.openxmlformats.org/officeDocument/2006/relationships/hyperlink" Target="https://fibtask.atlassian.net/browse/FIBXPI-1091" TargetMode="External" Id="rId3"/><Relationship Type="http://schemas.openxmlformats.org/officeDocument/2006/relationships/hyperlink" Target="https://ejabi-infosec.box.com/s/mwotf8ed28mso5h36my5emyslontlgqg" TargetMode="External" Id="rId4"/><Relationship Type="http://schemas.openxmlformats.org/officeDocument/2006/relationships/hyperlink" Target="https://fibtask.atlassian.net/browse/FIBXPI-1092" TargetMode="External" Id="rId5"/><Relationship Type="http://schemas.openxmlformats.org/officeDocument/2006/relationships/hyperlink" Target="https://ejabi-infosec.box.com/s/tudaudtg1ytnxpb1ovtvg85dnxrc6rse" TargetMode="External" Id="rId6"/><Relationship Type="http://schemas.openxmlformats.org/officeDocument/2006/relationships/hyperlink" Target="https://fibtask.atlassian.net/browse/FIBXPI-1093" TargetMode="External" Id="rId7"/><Relationship Type="http://schemas.openxmlformats.org/officeDocument/2006/relationships/hyperlink" Target="https://fibtask.atlassian.net/browse/FIBXPI-1094" TargetMode="External" Id="rId8"/><Relationship Type="http://schemas.openxmlformats.org/officeDocument/2006/relationships/hyperlink" Target="https://ejabi-infosec.box.com/s/nqhl3t2esa50qdao1bmfjeh4yn94n88f" TargetMode="External" Id="rId9"/><Relationship Type="http://schemas.openxmlformats.org/officeDocument/2006/relationships/hyperlink" Target="https://fibtask.atlassian.net/browse/FIBXPI-1095" TargetMode="External" Id="rId10"/><Relationship Type="http://schemas.openxmlformats.org/officeDocument/2006/relationships/hyperlink" Target="https://ejabi-infosec.box.com/s/je9ya0f9bpzxo7vm9s6l4jgr3y1jyp0h" TargetMode="External" Id="rId11"/><Relationship Type="http://schemas.openxmlformats.org/officeDocument/2006/relationships/hyperlink" Target="https://fibtask.atlassian.net/browse/FIBXPI-1096" TargetMode="External" Id="rId12"/><Relationship Type="http://schemas.openxmlformats.org/officeDocument/2006/relationships/hyperlink" Target="https://ejabi-infosec.box.com/s/hiawnjnng3fvq67qfipirrhuo89jygxf" TargetMode="External" Id="rId13"/><Relationship Type="http://schemas.openxmlformats.org/officeDocument/2006/relationships/hyperlink" Target="https://ejabi-infosec.box.com/s/nqhl3t2esa50qdao1bmfjeh4yn94n88f" TargetMode="External" Id="rId14"/><Relationship Type="http://schemas.openxmlformats.org/officeDocument/2006/relationships/hyperlink" Target="https://fibtask.atlassian.net/browse/FIBXPI-1097" TargetMode="External" Id="rId15"/><Relationship Type="http://schemas.openxmlformats.org/officeDocument/2006/relationships/hyperlink" Target="https://ejabi-infosec.box.com/s/8m9y1ivxcssiilcho2s0yi5i1zryk36o" TargetMode="External" Id="rId16"/><Relationship Type="http://schemas.openxmlformats.org/officeDocument/2006/relationships/hyperlink" Target="https://fibtask.atlassian.net/browse/FIBXPI-1098" TargetMode="External" Id="rId17"/><Relationship Type="http://schemas.openxmlformats.org/officeDocument/2006/relationships/hyperlink" Target="https://ejabi-infosec.box.com/s/8m9y1ivxcssiilcho2s0yi5i1zryk36o" TargetMode="External" Id="rId18"/><Relationship Type="http://schemas.openxmlformats.org/officeDocument/2006/relationships/hyperlink" Target="https://ejabi-infosec.box.com/s/a5i3lxe0wj7peeu4vd8ukpozajnplvxi" TargetMode="External" Id="rId19"/><Relationship Type="http://schemas.openxmlformats.org/officeDocument/2006/relationships/hyperlink" Target="https://fibtask.atlassian.net/browse/FIBXPI-1099" TargetMode="External" Id="rId20"/><Relationship Type="http://schemas.openxmlformats.org/officeDocument/2006/relationships/hyperlink" Target="https://ejabi-infosec.box.com/s/0da59lwt7tladtmvgfuki4n2hs5eo8ub" TargetMode="External" Id="rId21"/><Relationship Type="http://schemas.openxmlformats.org/officeDocument/2006/relationships/hyperlink" Target="https://fibtask.atlassian.net/browse/FIBXPI-1100" TargetMode="External" Id="rId2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hyperlink" Target="https://ejabi-infosec.box.com/s/5t78yday602ccef193h42all8rxd6n31" TargetMode="External" Id="rId1"/><Relationship Type="http://schemas.openxmlformats.org/officeDocument/2006/relationships/hyperlink" Target="https://ejabi-infosec.box.com/s/ov90ib8b81l3crm5b2xbfqbdrzfnnnxo" TargetMode="External" Id="rId2"/><Relationship Type="http://schemas.openxmlformats.org/officeDocument/2006/relationships/hyperlink" Target="https://ejabi-infosec.box.com/s/2rwynkqe2l5q6j5uzy4945jj3g0gu9ge" TargetMode="External" Id="rId3"/><Relationship Type="http://schemas.openxmlformats.org/officeDocument/2006/relationships/hyperlink" Target="https://ejabi-infosec.box.com/s/hu7piba951k6t3m1lpy1sgnapxjgoi9p" TargetMode="External" Id="rId4"/><Relationship Type="http://schemas.openxmlformats.org/officeDocument/2006/relationships/hyperlink" Target="https://ejabi-infosec.box.com/s/izhpxgg6zkss1cm9a5d3i0ju5onp2b7v" TargetMode="External" Id="rId5"/><Relationship Type="http://schemas.openxmlformats.org/officeDocument/2006/relationships/hyperlink" Target="https://ejabi-infosec.box.com/s/izhpxgg6zkss1cm9a5d3i0ju5onp2b7v" TargetMode="External" Id="rId6"/><Relationship Type="http://schemas.openxmlformats.org/officeDocument/2006/relationships/hyperlink" Target="https://ejabi-infosec.box.com/s/oqh0d9nb94gwm13hmubl11kk95onis0e" TargetMode="External" Id="rId7"/><Relationship Type="http://schemas.openxmlformats.org/officeDocument/2006/relationships/hyperlink" Target="https://ejabi-infosec.box.com/s/kgquwhbfijky2x4yjrh3dmk8eb32slmj" TargetMode="External" Id="rId8"/><Relationship Type="http://schemas.openxmlformats.org/officeDocument/2006/relationships/hyperlink" Target="https://ejabi-infosec.box.com/s/r6ycpkpx696g1q1rdmq2onazm3cwwv0g" TargetMode="External" Id="rId9"/><Relationship Type="http://schemas.openxmlformats.org/officeDocument/2006/relationships/hyperlink" Target="https://ejabi-infosec.box.com/s/r6ycpkpx696g1q1rdmq2onazm3cwwv0g" TargetMode="External" Id="rId10"/><Relationship Type="http://schemas.openxmlformats.org/officeDocument/2006/relationships/hyperlink" Target="https://ejabi-infosec.box.com/s/7g48f2ed4w8cpoetwqiph9mqj8hezt4v" TargetMode="External" Id="rId11"/><Relationship Type="http://schemas.openxmlformats.org/officeDocument/2006/relationships/hyperlink" Target="https://ejabi-infosec.box.com/s/dnq5rgxxlc1fki5p0eszango3fd1lvek" TargetMode="External" Id="rId12"/><Relationship Type="http://schemas.openxmlformats.org/officeDocument/2006/relationships/hyperlink" Target="https://ejabi-infosec.box.com/s/8xe55f4j0j7p39t1e5g9rwqtkttp769g" TargetMode="External" Id="rId13"/><Relationship Type="http://schemas.openxmlformats.org/officeDocument/2006/relationships/hyperlink" Target="https://ejabi-infosec.box.com/s/wwjz5bb7oqkgl7ad5kxvt79w7htonpqv" TargetMode="External" Id="rId14"/><Relationship Type="http://schemas.openxmlformats.org/officeDocument/2006/relationships/hyperlink" Target="https://ejabi-infosec.box.com/s/w5q1ntlxl3xqm4hw1e4neymjn4ekfsb6" TargetMode="External" Id="rId15"/><Relationship Type="http://schemas.openxmlformats.org/officeDocument/2006/relationships/hyperlink" Target="https://ejabi-infosec.box.com/s/12hd0nfsln9uiqu7sden06v6mtxgwlgg" TargetMode="External" Id="rId16"/><Relationship Type="http://schemas.openxmlformats.org/officeDocument/2006/relationships/hyperlink" Target="https://ejabi-infosec.box.com/s/4phqwd8yo3digac5pvsaf7u9bbh5mzyp" TargetMode="External" Id="rId17"/><Relationship Type="http://schemas.openxmlformats.org/officeDocument/2006/relationships/hyperlink" Target="https://ejabi-infosec.box.com/s/13w12cuwmdqys2ax3lhqm8iepngtvhli" TargetMode="External" Id="rId18"/><Relationship Type="http://schemas.openxmlformats.org/officeDocument/2006/relationships/hyperlink" Target="https://ejabi-infosec.box.com/s/7w1fxf4tyh96ij6r1jpc4ucnpe2ieivw" TargetMode="External" Id="rId19"/><Relationship Type="http://schemas.openxmlformats.org/officeDocument/2006/relationships/hyperlink" Target="https://fibtask.atlassian.net/browse/FIBXPI-1102" TargetMode="External" Id="rId20"/><Relationship Type="http://schemas.openxmlformats.org/officeDocument/2006/relationships/hyperlink" Target="https://ejabi-infosec.box.com/s/kbaplfapf2k44m1hhpvcw53gpt81nqnq" TargetMode="External" Id="rId21"/></Relationships>
</file>

<file path=xl/worksheets/_rels/sheet4.xml.rels><Relationships xmlns="http://schemas.openxmlformats.org/package/2006/relationships"><Relationship Type="http://schemas.openxmlformats.org/officeDocument/2006/relationships/hyperlink" Target="https://fibtask.atlassian.net/browse/FIBXPI-1129" TargetMode="External" Id="rId1"/><Relationship Type="http://schemas.openxmlformats.org/officeDocument/2006/relationships/hyperlink" Target="https://ejabi-infosec.box.com/s/0da59lwt7tladtmvgfuki4n2hs5eo8ub" TargetMode="External" Id="rId2"/><Relationship Type="http://schemas.openxmlformats.org/officeDocument/2006/relationships/hyperlink" Target="https://fibtask.atlassian.net/browse/FIBXPI-1100" TargetMode="External" Id="rId3"/><Relationship Type="http://schemas.openxmlformats.org/officeDocument/2006/relationships/hyperlink" Target="https://fibtask.atlassian.net/browse/FIBXPI-1130" TargetMode="External" Id="rId4"/><Relationship Type="http://schemas.openxmlformats.org/officeDocument/2006/relationships/hyperlink" Target="https://ejabi-infosec.box.com/s/l43eh15jehsgme1703ld5t40cvlhwb56" TargetMode="External" Id="rId5"/><Relationship Type="http://schemas.openxmlformats.org/officeDocument/2006/relationships/hyperlink" Target="https://fibtask.atlassian.net/browse/FIBXPI-1131" TargetMode="External" Id="rId6"/><Relationship Type="http://schemas.openxmlformats.org/officeDocument/2006/relationships/hyperlink" Target="https://fibtask.atlassian.net/browse/FIBXPI-1132" TargetMode="External" Id="rId7"/><Relationship Type="http://schemas.openxmlformats.org/officeDocument/2006/relationships/hyperlink" Target="https://ejabi-infosec.box.com/s/0dkw2pxpewzl1snmrq28oe0dsfb19je2" TargetMode="External" Id="rId8"/><Relationship Type="http://schemas.openxmlformats.org/officeDocument/2006/relationships/hyperlink" Target="https://fibtask.atlassian.net/browse/FIBXPI-1133" TargetMode="External" Id="rId9"/><Relationship Type="http://schemas.openxmlformats.org/officeDocument/2006/relationships/hyperlink" Target="https://ejabi-infosec.box.com/s/yvlfhw79qq49imfc1tawei87adja13gv" TargetMode="External" Id="rId10"/><Relationship Type="http://schemas.openxmlformats.org/officeDocument/2006/relationships/hyperlink" Target="https://ejabi-infosec.box.com/s/uwnbissva742a81t4aqcmw5994gwkizc" TargetMode="External" Id="rId11"/><Relationship Type="http://schemas.openxmlformats.org/officeDocument/2006/relationships/hyperlink" Target="https://ejabi-infosec.box.com/s/gbmw9jkm2lu9rxvdklsx6ammryk8f89n" TargetMode="External" Id="rId12"/><Relationship Type="http://schemas.openxmlformats.org/officeDocument/2006/relationships/hyperlink" Target="https://fibtask.atlassian.net/browse/FIBXPI-1134" TargetMode="External" Id="rId13"/><Relationship Type="http://schemas.openxmlformats.org/officeDocument/2006/relationships/hyperlink" Target="https://ejabi-infosec.box.com/s/xd0a7kiw2j04yw55hahwz9n23k9hta1r" TargetMode="External" Id="rId14"/><Relationship Type="http://schemas.openxmlformats.org/officeDocument/2006/relationships/hyperlink" Target="https://fibtask.atlassian.net/browse/FIBXPI-1135" TargetMode="External" Id="rId15"/><Relationship Type="http://schemas.openxmlformats.org/officeDocument/2006/relationships/hyperlink" Target="https://fibtask.atlassian.net/browse/FIBXPI-1136" TargetMode="External" Id="rId16"/><Relationship Type="http://schemas.openxmlformats.org/officeDocument/2006/relationships/hyperlink" Target="https://ejabi-infosec.box.com/s/kautxbs2f19r9h0uu2qwbozisxnizuz8" TargetMode="External" Id="rId17"/><Relationship Type="http://schemas.openxmlformats.org/officeDocument/2006/relationships/hyperlink" Target="https://fibtask.atlassian.net/browse/FIBXPI-1137" TargetMode="External" Id="rId18"/><Relationship Type="http://schemas.openxmlformats.org/officeDocument/2006/relationships/hyperlink" Target="https://ejabi-infosec.box.com/s/j635a8rveodmh1ujg9hcomm2bga922e7" TargetMode="External" Id="rId19"/><Relationship Type="http://schemas.openxmlformats.org/officeDocument/2006/relationships/hyperlink" Target="https://ejabi-infosec.box.com/s/v6tpb4z2r5hix9smt29frc3cs1zgwvr5" TargetMode="External" Id="rId20"/><Relationship Type="http://schemas.openxmlformats.org/officeDocument/2006/relationships/hyperlink" Target="https://ejabi-infosec.box.com/s/j635a8rveodmh1ujg9hcomm2bga922e7" TargetMode="External" Id="rId21"/><Relationship Type="http://schemas.openxmlformats.org/officeDocument/2006/relationships/hyperlink" Target="https://fibtask.atlassian.net/browse/FIBXPI-1138" TargetMode="External" Id="rId22"/><Relationship Type="http://schemas.openxmlformats.org/officeDocument/2006/relationships/hyperlink" Target="https://ejabi-infosec.box.com/s/j635a8rveodmh1ujg9hcomm2bga922e7" TargetMode="External" Id="rId23"/><Relationship Type="http://schemas.openxmlformats.org/officeDocument/2006/relationships/hyperlink" Target="https://ejabi-infosec.box.com/s/v6tpb4z2r5hix9smt29frc3cs1zgwvr5" TargetMode="External" Id="rId24"/><Relationship Type="http://schemas.openxmlformats.org/officeDocument/2006/relationships/hyperlink" Target="https://ejabi-infosec.box.com/s/j635a8rveodmh1ujg9hcomm2bga922e7" TargetMode="External" Id="rId25"/><Relationship Type="http://schemas.openxmlformats.org/officeDocument/2006/relationships/hyperlink" Target="https://fibtask.atlassian.net/browse/FIBXPI-1139" TargetMode="External" Id="rId26"/><Relationship Type="http://schemas.openxmlformats.org/officeDocument/2006/relationships/hyperlink" Target="https://fibtask.atlassian.net/browse/FIBXPI-1140" TargetMode="External" Id="rId27"/><Relationship Type="http://schemas.openxmlformats.org/officeDocument/2006/relationships/hyperlink" Target="https://fibtask.atlassian.net/browse/FIBXPI-1141" TargetMode="External" Id="rId28"/><Relationship Type="http://schemas.openxmlformats.org/officeDocument/2006/relationships/hyperlink" Target="https://fibtask.atlassian.net/browse/FIBXPI-1142" TargetMode="External" Id="rId29"/><Relationship Type="http://schemas.openxmlformats.org/officeDocument/2006/relationships/hyperlink" Target="https://fibtask.atlassian.net/browse/FIBXPI-1143" TargetMode="External" Id="rId30"/><Relationship Type="http://schemas.openxmlformats.org/officeDocument/2006/relationships/hyperlink" Target="https://ejabi-infosec.box.com/s/j635a8rveodmh1ujg9hcomm2bga922e7" TargetMode="External" Id="rId31"/><Relationship Type="http://schemas.openxmlformats.org/officeDocument/2006/relationships/hyperlink" Target="https://ejabi-infosec.box.com/s/v6tpb4z2r5hix9smt29frc3cs1zgwvr5" TargetMode="External" Id="rId32"/><Relationship Type="http://schemas.openxmlformats.org/officeDocument/2006/relationships/hyperlink" Target="https://ejabi-infosec.box.com/s/j635a8rveodmh1ujg9hcomm2bga922e7" TargetMode="External" Id="rId33"/><Relationship Type="http://schemas.openxmlformats.org/officeDocument/2006/relationships/hyperlink" Target="https://fibtask.atlassian.net/browse/FIBXPI-1144" TargetMode="External" Id="rId34"/><Relationship Type="http://schemas.openxmlformats.org/officeDocument/2006/relationships/hyperlink" Target="https://ejabi-infosec.box.com/s/ohhtmxc0qttxo2tztvy4wdbdj7oe8s9b" TargetMode="External" Id="rId35"/><Relationship Type="http://schemas.openxmlformats.org/officeDocument/2006/relationships/hyperlink" Target="https://fibtask.atlassian.net/browse/FIBXPI-1145" TargetMode="External" Id="rId36"/><Relationship Type="http://schemas.openxmlformats.org/officeDocument/2006/relationships/hyperlink" Target="https://ejabi-infosec.box.com/s/abjom36p2v0d5259hybh4u09tecf5v62" TargetMode="External" Id="rId37"/><Relationship Type="http://schemas.openxmlformats.org/officeDocument/2006/relationships/hyperlink" Target="https://fibtask.atlassian.net/browse/FIBXPI-1146" TargetMode="External" Id="rId38"/><Relationship Type="http://schemas.openxmlformats.org/officeDocument/2006/relationships/hyperlink" Target="https://fibtask.atlassian.net/browse/FIBXPI-1147" TargetMode="External" Id="rId39"/><Relationship Type="http://schemas.openxmlformats.org/officeDocument/2006/relationships/hyperlink" Target="https://ejabi-infosec.box.com/s/iaez6nivjazwy572cpne2rafzycnnyqn" TargetMode="External" Id="rId40"/><Relationship Type="http://schemas.openxmlformats.org/officeDocument/2006/relationships/hyperlink" Target="https://fibtask.atlassian.net/browse/FIBXPI-1148" TargetMode="External" Id="rId41"/><Relationship Type="http://schemas.openxmlformats.org/officeDocument/2006/relationships/hyperlink" Target="https://ejabi-infosec.box.com/s/fe45jj828ql84f9t7chdw2kpucpyx07i" TargetMode="External" Id="rId42"/><Relationship Type="http://schemas.openxmlformats.org/officeDocument/2006/relationships/hyperlink" Target="https://fibtask.atlassian.net/browse/FIBXPI-1149" TargetMode="External" Id="rId43"/><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hyperlink" Target="https://ejabi-infosec.box.com/s/sfa0xva9zui6rhy5ypd0fzcij31ys880" TargetMode="External" Id="rId1"/><Relationship Type="http://schemas.openxmlformats.org/officeDocument/2006/relationships/hyperlink" Target="https://fibtask.atlassian.net/browse/FIBXPI-1103" TargetMode="External" Id="rId2"/><Relationship Type="http://schemas.openxmlformats.org/officeDocument/2006/relationships/hyperlink" Target="https://fibtask.atlassian.net/browse/FIBXPI-1104" TargetMode="External" Id="rId3"/><Relationship Type="http://schemas.openxmlformats.org/officeDocument/2006/relationships/hyperlink" Target="https://ejabi-infosec.box.com/s/ixcz3d4c4gjev20yrepimufon417hhlg" TargetMode="External" Id="rId4"/><Relationship Type="http://schemas.openxmlformats.org/officeDocument/2006/relationships/hyperlink" Target="https://fibtask.atlassian.net/browse/FIBXPI-1105" TargetMode="External" Id="rId5"/></Relationships>
</file>

<file path=xl/worksheets/_rels/sheet6.xml.rels><Relationships xmlns="http://schemas.openxmlformats.org/package/2006/relationships"><Relationship Type="http://schemas.openxmlformats.org/officeDocument/2006/relationships/hyperlink" Target="https://ejabi-infosec.box.com/s/tykh7ziegfq063z0c126lyeu994t0btg" TargetMode="External" Id="rId1"/><Relationship Type="http://schemas.openxmlformats.org/officeDocument/2006/relationships/hyperlink" Target="https://fibtask.atlassian.net/browse/FIBXPI-1106" TargetMode="External" Id="rId2"/><Relationship Type="http://schemas.openxmlformats.org/officeDocument/2006/relationships/hyperlink" Target="https://fibtask.atlassian.net/browse/FIBXPI-1107" TargetMode="External" Id="rId3"/><Relationship Type="http://schemas.openxmlformats.org/officeDocument/2006/relationships/hyperlink" Target="https://ejabi-infosec.box.com/s/8m9y1ivxcssiilcho2s0yi5i1zryk36o" TargetMode="External" Id="rId4"/><Relationship Type="http://schemas.openxmlformats.org/officeDocument/2006/relationships/hyperlink" Target="https://fibtask.atlassian.net/browse/FIBXPI-1108" TargetMode="External" Id="rId5"/><Relationship Type="http://schemas.openxmlformats.org/officeDocument/2006/relationships/hyperlink" Target="https://ejabi-infosec.box.com/s/0da59lwt7tladtmvgfuki4n2hs5eo8ub" TargetMode="External" Id="rId6"/><Relationship Type="http://schemas.openxmlformats.org/officeDocument/2006/relationships/hyperlink" Target="https://fibtask.atlassian.net/browse/FIBXPI-1100" TargetMode="External" Id="rId7"/><Relationship Type="http://schemas.openxmlformats.org/officeDocument/2006/relationships/hyperlink" Target="https://ejabi-infosec.box.com/s/91d3glm3g6v42o0rvo1e07og5r7k7l6g" TargetMode="External" Id="rId8"/><Relationship Type="http://schemas.openxmlformats.org/officeDocument/2006/relationships/hyperlink" Target="https://fibtask.atlassian.net/browse/FIBXPI-1106" TargetMode="External" Id="rId9"/></Relationships>
</file>

<file path=xl/worksheets/_rels/sheet7.xml.rels><Relationships xmlns="http://schemas.openxmlformats.org/package/2006/relationships"><Relationship Type="http://schemas.openxmlformats.org/officeDocument/2006/relationships/hyperlink" Target="https://ejabi-infosec.box.com/s/l7oc3gkpurzaa4xmozkfd4h1j8jbdydq" TargetMode="External" Id="rId1"/><Relationship Type="http://schemas.openxmlformats.org/officeDocument/2006/relationships/hyperlink" Target="https://fibtask.atlassian.net/browse/FIBXPI-1110" TargetMode="External" Id="rId2"/><Relationship Type="http://schemas.openxmlformats.org/officeDocument/2006/relationships/hyperlink" Target="https://fibtask.atlassian.net/browse/FIBXPI-1111" TargetMode="External" Id="rId3"/><Relationship Type="http://schemas.openxmlformats.org/officeDocument/2006/relationships/hyperlink" Target="https://ejabi-infosec.box.com/s/v0suz8jscgdklxz9g7gj0rlvw90zcoli" TargetMode="External" Id="rId4"/><Relationship Type="http://schemas.openxmlformats.org/officeDocument/2006/relationships/hyperlink" Target="https://fibtask.atlassian.net/browse/FIBXPI-1112" TargetMode="External" Id="rId5"/><Relationship Type="http://schemas.openxmlformats.org/officeDocument/2006/relationships/hyperlink" Target="https://fibtask.atlassian.net/browse/FIBXPI-1113" TargetMode="External" Id="rId6"/><Relationship Type="http://schemas.openxmlformats.org/officeDocument/2006/relationships/hyperlink" Target="https://fibtask.atlassian.net/browse/FIBXPI-1114" TargetMode="External" Id="rId7"/><Relationship Type="http://schemas.openxmlformats.org/officeDocument/2006/relationships/hyperlink" Target="https://ejabi-infosec.box.com/s/v12hbrczfaxaihj4stop9k32zwoswe2y" TargetMode="External" Id="rId8"/><Relationship Type="http://schemas.openxmlformats.org/officeDocument/2006/relationships/hyperlink" Target="https://fibtask.atlassian.net/browse/FIBXPI-1115" TargetMode="External" Id="rId9"/><Relationship Type="http://schemas.openxmlformats.org/officeDocument/2006/relationships/hyperlink" Target="https://fibtask.atlassian.net/browse/FIBXPI-1116" TargetMode="External" Id="rId10"/><Relationship Type="http://schemas.openxmlformats.org/officeDocument/2006/relationships/hyperlink" Target="https://fibtask.atlassian.net/browse/FIBXPI-1117" TargetMode="External" Id="rId11"/></Relationships>
</file>

<file path=xl/worksheets/_rels/sheet8.xml.rels><Relationships xmlns="http://schemas.openxmlformats.org/package/2006/relationships"><Relationship Type="http://schemas.openxmlformats.org/officeDocument/2006/relationships/hyperlink" Target="https://ejabi-infosec.box.com/s/62fg8ue81sz9b99vli7g4gm3rc0xzi6d" TargetMode="External" Id="rId1"/><Relationship Type="http://schemas.openxmlformats.org/officeDocument/2006/relationships/hyperlink" Target="https://fibtask.atlassian.net/browse/FIBXPI-1109" TargetMode="External" Id="rId2"/><Relationship Type="http://schemas.openxmlformats.org/officeDocument/2006/relationships/hyperlink" Target="https://ejabi-infosec.box.com/s/62fg8ue81sz9b99vli7g4gm3rc0xzi6d" TargetMode="External" Id="rId3"/><Relationship Type="http://schemas.openxmlformats.org/officeDocument/2006/relationships/hyperlink" Target="https://fibtask.atlassian.net/browse/FIBXPI-1109" TargetMode="External" Id="rId4"/></Relationships>
</file>

<file path=xl/worksheets/_rels/sheet9.xml.rels><Relationships xmlns="http://schemas.openxmlformats.org/package/2006/relationships"><Relationship Type="http://schemas.openxmlformats.org/officeDocument/2006/relationships/hyperlink" Target="https://www.pcisecuritystandards.org/documents/PCI-DSS-v4-0-SAQ-C.pdf?utm_source=chatgpt.com" TargetMode="External" Id="rId1"/><Relationship Type="http://schemas.openxmlformats.org/officeDocument/2006/relationships/hyperlink" Target="https://ejabi-infosec.box.com/s/6ojwy7bpb2qph0nn6qv1xwmzg4kgbkz3" TargetMode="External" Id="rId2"/><Relationship Type="http://schemas.openxmlformats.org/officeDocument/2006/relationships/hyperlink" Target="https://fibtask.atlassian.net/browse/FIBXPI-1118" TargetMode="External" Id="rId3"/><Relationship Type="http://schemas.openxmlformats.org/officeDocument/2006/relationships/hyperlink" Target="https://www.pcisecuritystandards.org/faqs/does-pci-dss-requirement-8-2-2-allow-users-to-share-authentication-credentials/?utm_source=chatgpt.com" TargetMode="External" Id="rId4"/><Relationship Type="http://schemas.openxmlformats.org/officeDocument/2006/relationships/hyperlink" Target="https://fibtask.atlassian.net/browse/FIBXPI-1119" TargetMode="External" Id="rId5"/><Relationship Type="http://schemas.openxmlformats.org/officeDocument/2006/relationships/hyperlink" Target="https://fibtask.atlassian.net/browse/FIBXPI-1120" TargetMode="External" Id="rId6"/><Relationship Type="http://schemas.openxmlformats.org/officeDocument/2006/relationships/hyperlink" Target="https://fibtask.atlassian.net/browse/FIBXPI-1121" TargetMode="External" Id="rId7"/><Relationship Type="http://schemas.openxmlformats.org/officeDocument/2006/relationships/hyperlink" Target="https://listings.pcisecuritystandards.org/documents/PCI-DSS-v4-0-SAQ-C.pdf?utm_source=chatgpt.com" TargetMode="External" Id="rId8"/><Relationship Type="http://schemas.openxmlformats.org/officeDocument/2006/relationships/hyperlink" Target="https://ejabi-infosec.box.com/s/doq2dz94r23gclasccmgjsgezkek8at4" TargetMode="External" Id="rId9"/><Relationship Type="http://schemas.openxmlformats.org/officeDocument/2006/relationships/hyperlink" Target="https://fibtask.atlassian.net/browse/FIBXPI-1122" TargetMode="External" Id="rId10"/><Relationship Type="http://schemas.openxmlformats.org/officeDocument/2006/relationships/hyperlink" Target="https://ejabi-infosec.box.com/s/4ibefivickfomi8bnj65dfcky241wh46" TargetMode="External" Id="rId11"/><Relationship Type="http://schemas.openxmlformats.org/officeDocument/2006/relationships/hyperlink" Target="https://fibtask.atlassian.net/browse/FIBXPI-1123" TargetMode="External" Id="rId12"/><Relationship Type="http://schemas.openxmlformats.org/officeDocument/2006/relationships/hyperlink" Target="https://ejabi-infosec.box.com/s/hkjaxzzfmahfzlgby1vt4ns26073pr4m" TargetMode="External" Id="rId13"/><Relationship Type="http://schemas.openxmlformats.org/officeDocument/2006/relationships/hyperlink" Target="https://fibtask.atlassian.net/browse/FIBXPI-1124" TargetMode="External" Id="rId14"/><Relationship Type="http://schemas.openxmlformats.org/officeDocument/2006/relationships/hyperlink" Target="https://listings.pcisecuritystandards.org/documents/PCI-DSS-v4-0-SAQ-C.pdf?utm_source=chatgpt.com" TargetMode="External" Id="rId15"/><Relationship Type="http://schemas.openxmlformats.org/officeDocument/2006/relationships/hyperlink" Target="https://fibtask.atlassian.net/browse/FIBXPI-1125" TargetMode="External" Id="rId16"/></Relationships>
</file>

<file path=xl/worksheets/sheet1.xml><?xml version="1.0" encoding="utf-8"?>
<worksheet xmlns="http://schemas.openxmlformats.org/spreadsheetml/2006/main">
  <sheetPr>
    <outlinePr summaryBelow="1" summaryRight="1"/>
    <pageSetUpPr/>
  </sheetPr>
  <dimension ref="A1:J11"/>
  <sheetViews>
    <sheetView topLeftCell="C1" workbookViewId="0">
      <selection activeCell="H2" sqref="H2"/>
    </sheetView>
  </sheetViews>
  <sheetFormatPr baseColWidth="8" defaultColWidth="8.85546875" defaultRowHeight="14.45"/>
  <cols>
    <col width="11.140625" customWidth="1" style="5" min="1" max="1"/>
    <col width="17.42578125" customWidth="1" style="3" min="2" max="2"/>
    <col width="37.5703125" customWidth="1" style="1" min="3" max="3"/>
    <col width="49.7109375" customWidth="1" style="1" min="4" max="4"/>
    <col width="23.140625" customWidth="1" style="1" min="5" max="6"/>
    <col width="25.7109375" customWidth="1" style="1" min="7" max="7"/>
    <col width="25" customWidth="1" style="1" min="8" max="8"/>
    <col width="12.5703125" customWidth="1" style="1" min="9" max="9"/>
    <col width="29.42578125" customWidth="1" style="1" min="10" max="10"/>
    <col width="8.85546875" customWidth="1" style="1" min="11" max="16384"/>
  </cols>
  <sheetData>
    <row r="1" ht="34.9" customHeight="1">
      <c r="A1" s="173" t="inlineStr">
        <is>
          <t>Firewall Configuration Review Gaps &amp; Recommendations</t>
        </is>
      </c>
      <c r="B1" s="220" t="n"/>
      <c r="C1" s="220" t="n"/>
      <c r="D1" s="220" t="n"/>
      <c r="E1" s="220" t="n"/>
      <c r="F1" s="220" t="n"/>
      <c r="G1" s="220" t="n"/>
      <c r="H1" s="221" t="n"/>
      <c r="I1" s="47" t="n"/>
      <c r="J1" s="2" t="n"/>
    </row>
    <row r="2" ht="35.45" customFormat="1" customHeight="1" s="2">
      <c r="A2" s="35" t="inlineStr">
        <is>
          <t>Sr. No.</t>
        </is>
      </c>
      <c r="B2" s="36" t="inlineStr">
        <is>
          <t>Section Covered</t>
        </is>
      </c>
      <c r="C2" s="37" t="inlineStr">
        <is>
          <t>Key Observations</t>
        </is>
      </c>
      <c r="D2" s="37" t="inlineStr">
        <is>
          <t>Recommendations</t>
        </is>
      </c>
      <c r="E2" s="37" t="inlineStr">
        <is>
          <t>Evidence Required</t>
        </is>
      </c>
      <c r="F2" s="37" t="inlineStr">
        <is>
          <t>Status</t>
        </is>
      </c>
      <c r="G2" s="37" t="inlineStr">
        <is>
          <t>Assessor Comments (17-Aug)</t>
        </is>
      </c>
      <c r="H2" s="38" t="inlineStr">
        <is>
          <t>Client Comments</t>
        </is>
      </c>
      <c r="I2" s="46" t="inlineStr">
        <is>
          <t>FIB Status</t>
        </is>
      </c>
      <c r="J2" s="2" t="inlineStr">
        <is>
          <t>Link</t>
        </is>
      </c>
    </row>
    <row r="3" ht="101.25" customHeight="1">
      <c r="A3" s="39" t="n">
        <v>1</v>
      </c>
      <c r="B3" s="40" t="inlineStr">
        <is>
          <t>FortiGate Firewall</t>
        </is>
      </c>
      <c r="C3" s="14" t="inlineStr">
        <is>
          <t>TLS configuration could not be demonstrated during the assessment session. Therefore, the configured TLS versions, cipher suites, and secure management protocols could not be verified.</t>
        </is>
      </c>
      <c r="D3" s="14" t="inlineStr">
        <is>
          <t>Demonstrate the TLS configuration on the firewall and ensure that only strong cryptographic protocols and cipher suites are enabled for all administrative interfaces. Disable insecure protocols and weak ciphers in accordance with PCI DSS v4.0.1 Requirements 4.2.1 and 2.2.5, where applicable.</t>
        </is>
      </c>
      <c r="E3" s="14" t="inlineStr">
        <is>
          <t>Screenshots of TLS configuration, enabled TLS versions, cipher suites, and secure management interface settings.</t>
        </is>
      </c>
      <c r="F3" s="15" t="inlineStr">
        <is>
          <t>Closed</t>
        </is>
      </c>
      <c r="G3" s="14" t="inlineStr">
        <is>
          <t>The assessor was unable to verify that only secure TLS protocols and cipher suites are enabled for administrative access. Evidence is required to confirm compliance.</t>
        </is>
      </c>
      <c r="H3" s="50" t="inlineStr">
        <is>
          <t>https://ejabi-infosec.box.com/s/8fc502l9z2d6d0emp3dr0qhqfdl5nebk</t>
        </is>
      </c>
      <c r="I3" s="46" t="inlineStr">
        <is>
          <t>Done</t>
        </is>
      </c>
      <c r="J3" s="2" t="inlineStr">
        <is>
          <t>CLOSED NO NEED</t>
        </is>
      </c>
    </row>
    <row r="4" ht="101.25" customHeight="1">
      <c r="A4" s="39" t="n">
        <v>2</v>
      </c>
      <c r="B4" s="41" t="inlineStr">
        <is>
          <t>FortiGate Firewall</t>
        </is>
      </c>
      <c r="C4" s="7" t="inlineStr">
        <is>
          <t>Anti-spoofing configuration was not demonstrated during the assessment. As a result, controls preventing IP address spoofing could not be verified.</t>
        </is>
      </c>
      <c r="D4" s="7" t="inlineStr">
        <is>
          <t>Demonstrate the anti-spoofing configuration implemented on the firewall. Ensure ingress and egress filtering, reverse path validation (RPF), or equivalent anti-spoofing mechanisms are enabled in accordance with PCI DSS network security requirements.</t>
        </is>
      </c>
      <c r="E4" s="7" t="inlineStr">
        <is>
          <t>Screenshots of anti-spoofing configuration, interface settings, reverse path forwarding (RPF), firewall policies, or equivalent configuration.</t>
        </is>
      </c>
      <c r="F4" s="6" t="inlineStr">
        <is>
          <t>Closed</t>
        </is>
      </c>
      <c r="G4" s="7" t="inlineStr">
        <is>
          <t>The anti-spoofing controls could not be validated during the assessment. Evidence is required to confirm that spoofed traffic is appropriately detected and blocked.</t>
        </is>
      </c>
      <c r="H4" s="50" t="inlineStr">
        <is>
          <t>https://ejabi-infosec.box.com/s/8fc502l9z2d6d0emp3dr0qhqfdl5nebk</t>
        </is>
      </c>
      <c r="I4" s="46" t="inlineStr">
        <is>
          <t>Done</t>
        </is>
      </c>
      <c r="J4" s="2" t="inlineStr">
        <is>
          <t>CLOSED NO NEED</t>
        </is>
      </c>
    </row>
    <row r="5" ht="159" customHeight="1">
      <c r="A5" s="39" t="n">
        <v>3</v>
      </c>
      <c r="B5" s="42" t="inlineStr">
        <is>
          <t>FortiGate Firewall</t>
        </is>
      </c>
      <c r="C5" s="10" t="inlineStr">
        <is>
          <t>The default administrative account is currently accessible by multiple personnel. Evidence demonstrating split knowledge/shared control or implementation of unique administrative accounts was not provided.</t>
        </is>
      </c>
      <c r="D5" s="10" t="inlineStr">
        <is>
          <t>Avoid the use of shared administrative accounts wherever possible. Configure unique administrator accounts for each individual. If the default administrative account cannot be disabled due to technical limitations, restrict its use, implement dual control/split knowledge where applicable, securely manage credentials, and maintain documented procedures and authorization records.</t>
        </is>
      </c>
      <c r="E5" s="10" t="inlineStr">
        <is>
          <t>Administrative account list, RBAC configuration, unique administrator account configuration, documented procedure for default account management, split knowledge/dual control documentation (if applicable), and access logs.</t>
        </is>
      </c>
      <c r="F5" s="12" t="inlineStr">
        <is>
          <t>Open</t>
        </is>
      </c>
      <c r="G5" s="126" t="inlineStr">
        <is>
          <t>I could see the user"Admin" has been disabled. 
To satisfy this evidence point, kindly also mention who has access to the admin account and that needs to be documented in a password policy / procedure or justification document.</t>
        </is>
      </c>
      <c r="H5" s="50" t="inlineStr">
        <is>
          <t>https://ejabi-infosec.box.com/s/8fc502l9z2d6d0emp3dr0qhqfdl5nebk</t>
        </is>
      </c>
      <c r="I5" s="61" t="inlineStr">
        <is>
          <t>In progress</t>
        </is>
      </c>
      <c r="J5" s="156" t="inlineStr">
        <is>
          <t>https://fibtask.atlassian.net/browse/FIBXPI-1083</t>
        </is>
      </c>
    </row>
    <row r="6" ht="131.25" customHeight="1">
      <c r="A6" s="39" t="n">
        <v>4</v>
      </c>
      <c r="B6" s="42" t="inlineStr">
        <is>
          <t>VPN Firewall - Encryption Settings</t>
        </is>
      </c>
      <c r="C6" s="10" t="inlineStr">
        <is>
          <t>TLS version is marked as pending/not provided; actual encryption configuration is not documented.</t>
        </is>
      </c>
      <c r="D6" s="10" t="inlineStr">
        <is>
          <t>Provide and validate the configured TLS version and encryption settings to ensure only approved secure protocols and cryptographic configurations are enabled.</t>
        </is>
      </c>
      <c r="E6" s="10" t="inlineStr">
        <is>
          <t>TLS configuration, supported TLS versions/ciphers, and configuration screenshots/command output.</t>
        </is>
      </c>
      <c r="F6" s="12" t="inlineStr">
        <is>
          <t>Open</t>
        </is>
      </c>
      <c r="G6" s="129" t="inlineStr">
        <is>
          <t>The submitted evidence does not demonstrate the TLS configuration. Additional evidence is required to validate compliance with applicable PCI DSS encryption requirements.</t>
        </is>
      </c>
      <c r="H6" s="50" t="n"/>
      <c r="I6" s="61" t="inlineStr">
        <is>
          <t>In progress</t>
        </is>
      </c>
      <c r="J6" s="156" t="inlineStr">
        <is>
          <t>https://fibtask.atlassian.net/browse/FIBXPI-1084</t>
        </is>
      </c>
    </row>
    <row r="7" ht="135" customHeight="1" thickBot="1">
      <c r="A7" s="39" t="n">
        <v>5</v>
      </c>
      <c r="B7" s="42" t="inlineStr">
        <is>
          <t>VPN Firewall - Access Restrictions</t>
        </is>
      </c>
      <c r="C7" s="10" t="inlineStr">
        <is>
          <t>ACL and “Deny All” are mentioned; however, detailed firewall rules, permitted services, source/destination definitions, and granular access restrictions are not provided.</t>
        </is>
      </c>
      <c r="D7" s="10" t="inlineStr">
        <is>
          <t>Provide the complete ACL/firewall rule set and demonstrate that access is restricted to only necessary traffic, services, and sources/destinations.</t>
        </is>
      </c>
      <c r="E7" s="10" t="inlineStr">
        <is>
          <t>Firewall/ACL configuration, rule base, source/destination/port details, and approved access matrix.</t>
        </is>
      </c>
      <c r="F7" s="12" t="inlineStr">
        <is>
          <t>Open</t>
        </is>
      </c>
      <c r="G7" s="121" t="inlineStr">
        <is>
          <t>The evidence is insufficient to validate that network access is restricted based on business and security requirements. Detailed rule-level evidence is required.</t>
        </is>
      </c>
      <c r="H7" s="50" t="inlineStr">
        <is>
          <t>https://ejabi-infosec.box.com/s/riypvdlxpfvtu65g1mni6kub60rw9znp</t>
        </is>
      </c>
      <c r="I7" s="46" t="inlineStr">
        <is>
          <t>Done</t>
        </is>
      </c>
      <c r="J7" s="156" t="inlineStr">
        <is>
          <t>https://fibtask.atlassian.net/browse/FIBXPI-1085</t>
        </is>
      </c>
    </row>
    <row r="8" ht="115.5" customHeight="1">
      <c r="A8" s="39" t="n">
        <v>6</v>
      </c>
      <c r="B8" s="42" t="inlineStr">
        <is>
          <t>VPN Firewall - Logging / SIEM</t>
        </is>
      </c>
      <c r="C8" s="10" t="inlineStr">
        <is>
          <t>SIEM integration with Wazuh is mentioned; however, the evidence does not specify the security events captured, log retention, or log forwarding/configuration details.</t>
        </is>
      </c>
      <c r="D8" s="10" t="inlineStr">
        <is>
          <t>Provide evidence demonstrating audit-event generation, centralized log forwarding to Wazuh/SIEM, log retention, and monitoring/review of relevant security events.</t>
        </is>
      </c>
      <c r="E8" s="10" t="inlineStr">
        <is>
          <t>SIEM/Wazuh configuration, log forwarding settings, sample security/admin logs, retention configuration, and evidence of log monitoring/review.</t>
        </is>
      </c>
      <c r="F8" s="12" t="inlineStr">
        <is>
          <t>Open</t>
        </is>
      </c>
      <c r="G8" s="129" t="inlineStr">
        <is>
          <t>The evidence indicates SIEM integration; however, it does not demonstrate sufficient audit logging and centralized log collection to satisfy PCI DSS v4.0.1 Requirement 10.</t>
        </is>
      </c>
      <c r="H8" s="50" t="n"/>
      <c r="I8" s="61" t="inlineStr">
        <is>
          <t>In progress</t>
        </is>
      </c>
      <c r="J8" s="156" t="inlineStr">
        <is>
          <t>https://fibtask.atlassian.net/browse/FIBXPI-1086</t>
        </is>
      </c>
    </row>
    <row r="9" ht="101.25" customHeight="1">
      <c r="A9" s="39" t="n">
        <v>7</v>
      </c>
      <c r="B9" s="42" t="inlineStr">
        <is>
          <t>VPN Firewall - Secure Protocols / Hardening</t>
        </is>
      </c>
      <c r="C9" s="10" t="inlineStr">
        <is>
          <t>HTTP and Telnet are identified as enabled, indicating the use of weak/insecure management protocols.</t>
        </is>
      </c>
      <c r="D9" s="10" t="inlineStr">
        <is>
          <t>Disable HTTP and Telnet and enforce secure management protocols such as HTTPS/SSH, as applicable.</t>
        </is>
      </c>
      <c r="E9" s="10" t="inlineStr">
        <is>
          <t>Updated configuration showing HTTP/Telnet disabled and secure management protocols enabled.</t>
        </is>
      </c>
      <c r="F9" s="12" t="inlineStr">
        <is>
          <t>Open</t>
        </is>
      </c>
      <c r="G9" s="121" t="inlineStr">
        <is>
          <t>The evidence identifies weak protocols as enabled. These should be disabled and replaced with secure protocols to meet PCI DSS secure configuration requirements.</t>
        </is>
      </c>
      <c r="H9" s="50" t="inlineStr">
        <is>
          <t>https://ejabi-infosec.box.com/s/4f8t1racdoixsohbzq1rqlfqe8yuloon</t>
        </is>
      </c>
      <c r="I9" s="46" t="inlineStr">
        <is>
          <t>Done</t>
        </is>
      </c>
      <c r="J9" s="156" t="inlineStr">
        <is>
          <t>https://fibtask.atlassian.net/browse/FIBXPI-1087</t>
        </is>
      </c>
    </row>
    <row r="10" ht="57.75" customHeight="1">
      <c r="A10" s="39" t="n">
        <v>8</v>
      </c>
      <c r="B10" s="42" t="inlineStr">
        <is>
          <t>VPN Firewall - Anti-Spoofing</t>
        </is>
      </c>
      <c r="C10" s="10" t="inlineStr">
        <is>
          <t>Anti-spoofing configuration is marked as pending (“Anti-spoofing setting to be sent”).</t>
        </is>
      </c>
      <c r="D10" s="10" t="inlineStr">
        <is>
          <t>Provide and validate the anti-spoofing configuration to confirm that unauthorized/spoofed source addresses are appropriately restricted.</t>
        </is>
      </c>
      <c r="E10" s="10" t="inlineStr">
        <is>
          <t>Anti-spoofing configuration and relevant firewall/interface settings.</t>
        </is>
      </c>
      <c r="F10" s="12" t="inlineStr">
        <is>
          <t>Open</t>
        </is>
      </c>
      <c r="G10" s="129" t="inlineStr">
        <is>
          <t>Anti-spoofing configuration has not been provided; therefore, the control cannot currently be validated.</t>
        </is>
      </c>
      <c r="H10" s="50" t="n"/>
      <c r="I10" s="61" t="inlineStr">
        <is>
          <t>In progress</t>
        </is>
      </c>
      <c r="J10" s="156" t="inlineStr">
        <is>
          <t>https://fibtask.atlassian.net/browse/FIBXPI-1088</t>
        </is>
      </c>
    </row>
    <row r="11" ht="115.5" customHeight="1">
      <c r="A11" s="39" t="n">
        <v>9</v>
      </c>
      <c r="B11" s="42" t="inlineStr">
        <is>
          <t>VPN Firewall - Certificate Configuration</t>
        </is>
      </c>
      <c r="C11" s="10" t="inlineStr">
        <is>
          <t>Certificate configuration is incomplete, with a self-signed certificate noted (“Certificate self-signed”).</t>
        </is>
      </c>
      <c r="D11" s="10" t="inlineStr">
        <is>
          <t>Replace the self-signed certificate with an appropriately trusted certificate, where applicable, and provide the certificate configuration and validity details.</t>
        </is>
      </c>
      <c r="E11" s="10" t="inlineStr">
        <is>
          <t>Certificate details, certificate chain, validity period, TLS configuration, and configuration screenshots.</t>
        </is>
      </c>
      <c r="F11" s="12" t="inlineStr">
        <is>
          <t>Open</t>
        </is>
      </c>
      <c r="G11" s="129" t="inlineStr">
        <is>
          <t>The evidence indicates the use of a self-signed certificate. Additional validation is required to determine whether the certificate configuration meets the applicable security requirements.</t>
        </is>
      </c>
      <c r="H11" s="50" t="n"/>
      <c r="I11" s="61" t="inlineStr">
        <is>
          <t>In progress</t>
        </is>
      </c>
      <c r="J11" s="156" t="inlineStr">
        <is>
          <t>https://fibtask.atlassian.net/browse/FIBXPI-1089</t>
        </is>
      </c>
    </row>
  </sheetData>
  <mergeCells count="1">
    <mergeCell ref="A1:H1"/>
  </mergeCells>
  <conditionalFormatting sqref="F1:F11">
    <cfRule type="containsText" priority="7" operator="containsText" dxfId="5" text="Open">
      <formula>NOT(ISERROR(SEARCH("Open",F1)))</formula>
    </cfRule>
    <cfRule type="containsText" priority="8" operator="containsText" dxfId="0" text="Closed">
      <formula>NOT(ISERROR(SEARCH("Closed",F1)))</formula>
    </cfRule>
    <cfRule type="containsText" priority="9" operator="containsText" dxfId="3" text="Partial">
      <formula>NOT(ISERROR(SEARCH("Partial",F1)))</formula>
    </cfRule>
    <cfRule type="containsText" priority="10" operator="containsText" dxfId="2" text="Closed">
      <formula>NOT(ISERROR(SEARCH("Closed",F1)))</formula>
    </cfRule>
    <cfRule type="containsText" priority="11" operator="containsText" dxfId="0" text="Open">
      <formula>NOT(ISERROR(SEARCH("Open",F1)))</formula>
    </cfRule>
    <cfRule type="cellIs" priority="12" operator="between" dxfId="0">
      <formula>$F$3</formula>
      <formula>$F$14</formula>
    </cfRule>
  </conditionalFormatting>
  <dataValidations count="1">
    <dataValidation sqref="F2" showDropDown="0" showInputMessage="1" showErrorMessage="1" allowBlank="1" type="list">
      <formula1>$D$38:$D$40</formula1>
    </dataValidation>
  </dataValidations>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J5" r:id="rId4"/>
    <hyperlink xmlns:r="http://schemas.openxmlformats.org/officeDocument/2006/relationships" ref="J6" r:id="rId5"/>
    <hyperlink xmlns:r="http://schemas.openxmlformats.org/officeDocument/2006/relationships" ref="H7" r:id="rId6"/>
    <hyperlink xmlns:r="http://schemas.openxmlformats.org/officeDocument/2006/relationships" ref="J7" r:id="rId7"/>
    <hyperlink xmlns:r="http://schemas.openxmlformats.org/officeDocument/2006/relationships" ref="J8" r:id="rId8"/>
    <hyperlink xmlns:r="http://schemas.openxmlformats.org/officeDocument/2006/relationships" ref="H9" r:id="rId9"/>
    <hyperlink xmlns:r="http://schemas.openxmlformats.org/officeDocument/2006/relationships" ref="J9" r:id="rId10"/>
    <hyperlink xmlns:r="http://schemas.openxmlformats.org/officeDocument/2006/relationships" ref="J10" r:id="rId11"/>
    <hyperlink xmlns:r="http://schemas.openxmlformats.org/officeDocument/2006/relationships" ref="J11" r:id="rId12"/>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40"/>
  <sheetViews>
    <sheetView workbookViewId="0">
      <selection activeCell="I2" sqref="I2"/>
    </sheetView>
  </sheetViews>
  <sheetFormatPr baseColWidth="8" defaultColWidth="8.85546875" defaultRowHeight="15" customHeight="1"/>
  <cols>
    <col width="8.85546875" customWidth="1" style="5" min="1" max="1"/>
    <col width="20.7109375" customWidth="1" style="3" min="2" max="2"/>
    <col width="34.5703125" customWidth="1" style="140" min="3" max="3"/>
    <col width="46.42578125" customWidth="1" style="140" min="4" max="4"/>
    <col width="35.7109375" customWidth="1" style="140" min="5" max="5"/>
    <col width="8.28515625" customWidth="1" style="5" min="6" max="6"/>
    <col width="29.28515625" customWidth="1" style="140" min="7" max="7"/>
    <col width="25.28515625" customWidth="1" style="140" min="8" max="9"/>
    <col width="20" customWidth="1" style="58" min="10" max="10"/>
    <col width="50" customWidth="1" style="2" min="11" max="11"/>
    <col width="8.85546875" customWidth="1" style="1" min="12" max="16384"/>
  </cols>
  <sheetData>
    <row r="1" ht="34.9" customHeight="1">
      <c r="A1" s="179" t="inlineStr">
        <is>
          <t>System Configuration Review Gaps &amp; Recommendations</t>
        </is>
      </c>
      <c r="B1" s="222" t="n"/>
      <c r="C1" s="222" t="n"/>
      <c r="D1" s="222" t="n"/>
      <c r="E1" s="222" t="n"/>
      <c r="F1" s="222" t="n"/>
      <c r="G1" s="222" t="n"/>
      <c r="H1" s="223" t="n"/>
      <c r="I1" s="130" t="n"/>
      <c r="J1" s="62" t="inlineStr">
        <is>
          <t>23 3 Open</t>
        </is>
      </c>
      <c r="K1" s="58" t="n"/>
    </row>
    <row r="2" ht="43.15" customFormat="1" customHeight="1" s="2">
      <c r="A2" s="16" t="inlineStr">
        <is>
          <t>Sr. No.</t>
        </is>
      </c>
      <c r="B2" s="17" t="inlineStr">
        <is>
          <t>Section Covered</t>
        </is>
      </c>
      <c r="C2" s="17" t="inlineStr">
        <is>
          <t>Key Observations</t>
        </is>
      </c>
      <c r="D2" s="17" t="inlineStr">
        <is>
          <t>Recommendations</t>
        </is>
      </c>
      <c r="E2" s="17" t="inlineStr">
        <is>
          <t>Evidence Required</t>
        </is>
      </c>
      <c r="F2" s="17" t="inlineStr">
        <is>
          <t>Status</t>
        </is>
      </c>
      <c r="G2" s="17" t="inlineStr">
        <is>
          <t>Assessor Comments (17-Aug)</t>
        </is>
      </c>
      <c r="H2" s="18" t="inlineStr">
        <is>
          <t>Client Comments</t>
        </is>
      </c>
      <c r="I2" s="18" t="inlineStr">
        <is>
          <t>Client Comments</t>
        </is>
      </c>
      <c r="J2" s="57" t="inlineStr">
        <is>
          <t>FIB Status</t>
        </is>
      </c>
      <c r="K2" s="56" t="inlineStr">
        <is>
          <t>Link</t>
        </is>
      </c>
    </row>
    <row r="3" ht="138" customHeight="1">
      <c r="A3" s="13" t="n">
        <v>1</v>
      </c>
      <c r="B3" s="14" t="inlineStr">
        <is>
          <t>Linux Server Configuration Review</t>
        </is>
      </c>
      <c r="C3" s="178" t="inlineStr">
        <is>
          <t>During the review of the linux server (10.222.40.13), it was noted that few services such as the firewalld.service has been inactive.
Provide a business justification for this or if this is to be missed our kindly follow the recommendation provided.</t>
        </is>
      </c>
      <c r="D3" s="178" t="inlineStr">
        <is>
          <t>Unless a central network firewall strictly controls all traffic to this host, unmask, enable, and configure firewalld with a default-deny policy</t>
        </is>
      </c>
      <c r="E3" s="178" t="inlineStr">
        <is>
          <t>Provide a updated list of all the running services in Linux server.</t>
        </is>
      </c>
      <c r="F3" s="15" t="inlineStr">
        <is>
          <t>OPEN</t>
        </is>
      </c>
      <c r="G3" s="178" t="inlineStr">
        <is>
          <t>Kindly provide the screenshot for the list of all the running services in Linux server.</t>
        </is>
      </c>
      <c r="H3" s="139" t="n"/>
      <c r="I3" s="140" t="n"/>
      <c r="J3" s="61" t="inlineStr">
        <is>
          <t>In progress</t>
        </is>
      </c>
      <c r="K3" s="176" t="inlineStr">
        <is>
          <t>https://fibtask.atlassian.net/browse/FIBXPI-1090</t>
        </is>
      </c>
    </row>
    <row r="4" ht="130.5" customHeight="1">
      <c r="A4" s="8" t="n">
        <v>2</v>
      </c>
      <c r="B4" s="7" t="inlineStr">
        <is>
          <t>Linux Server Configuration Review</t>
        </is>
      </c>
      <c r="C4" s="69" t="inlineStr">
        <is>
          <t xml:space="preserve">During the review of the linux server (10.222.40.13), it was noted that few services such as the atd.service, iscsid.service, kdump.service, tuned.service is in use and actively running.
</t>
        </is>
      </c>
      <c r="D4" s="69" t="inlineStr">
        <is>
          <t>Kindly provide a business justification for using this service in the server or if no reason is available kindly disable the service, since the atd.service is used as job spooling tool, iscsid.service is uaed as the iSCSI daemon, kdump.service is used for crash recovery kernel arming and tuned.services for system tuning daemon.</t>
        </is>
      </c>
      <c r="E4" s="69" t="inlineStr">
        <is>
          <t>Provide a updated list of all the running services in Linux server.</t>
        </is>
      </c>
      <c r="F4" s="65" t="inlineStr">
        <is>
          <t>OPEN</t>
        </is>
      </c>
      <c r="G4" s="66" t="inlineStr">
        <is>
          <t>The screenshot provided is the complete service list, kinldy provide the list of services that are running. (from server 10.222.40.13)</t>
        </is>
      </c>
      <c r="H4" s="141" t="inlineStr">
        <is>
          <t>https://ejabi-infosec.box.com/s/oubt9s34kwrnwrbghl0dlsew5jkln701</t>
        </is>
      </c>
      <c r="I4" s="142" t="n"/>
      <c r="J4" s="61" t="inlineStr">
        <is>
          <t>In progress</t>
        </is>
      </c>
      <c r="K4" s="176" t="inlineStr">
        <is>
          <t>https://fibtask.atlassian.net/browse/FIBXPI-1091</t>
        </is>
      </c>
    </row>
    <row r="5" ht="72.75" customHeight="1">
      <c r="A5" s="8" t="n">
        <v>3</v>
      </c>
      <c r="B5" s="7" t="inlineStr">
        <is>
          <t>Windows Server Configuration</t>
        </is>
      </c>
      <c r="C5" s="69" t="inlineStr">
        <is>
          <t>During the review of the Windows server (10.222.110.22), it was noted that some of the services such as the print spooler is running and active.</t>
        </is>
      </c>
      <c r="D5" s="69" t="inlineStr">
        <is>
          <t>Kindly provide a business justification for using this service in the Domain controller server.
If no reason is there to use to have this service kindly disable these services.</t>
        </is>
      </c>
      <c r="E5" s="69" t="n"/>
      <c r="F5" s="6" t="inlineStr">
        <is>
          <t>Closed</t>
        </is>
      </c>
      <c r="G5" s="122" t="inlineStr">
        <is>
          <t>The screenshot provided is the complete service list, kinldy provide the list of services that are running. (from server 10.222.110.22)</t>
        </is>
      </c>
      <c r="H5" s="141" t="inlineStr">
        <is>
          <t>We have desabiled spooler</t>
        </is>
      </c>
      <c r="I5" s="142" t="n"/>
      <c r="J5" s="57" t="inlineStr">
        <is>
          <t>Done</t>
        </is>
      </c>
      <c r="K5" s="176" t="inlineStr">
        <is>
          <t>https://fibtask.atlassian.net/browse/FIBXPI-1092</t>
        </is>
      </c>
    </row>
    <row r="6" ht="86.45" customHeight="1">
      <c r="A6" s="8" t="n">
        <v>4</v>
      </c>
      <c r="B6" s="69" t="inlineStr">
        <is>
          <t>Windows Server Configuration</t>
        </is>
      </c>
      <c r="C6" s="224" t="inlineStr">
        <is>
          <t>During the configuration review of the Windows Domain Controller (SHQ-DNS-01), it was observed that the server is not fully patched and is currently missing several critical updates.</t>
        </is>
      </c>
      <c r="D6" s="69" t="inlineStr">
        <is>
          <t>Apply Pending Updates: Immediately install all pending cumulative operating system, .NET Framework, and driver updates on the domain controller (SHQ-DNS-01) during an approved maintenance window.</t>
        </is>
      </c>
      <c r="E6" s="69" t="inlineStr">
        <is>
          <t>1. Updated Windows Update Screenshot: Provide an updated screenshot of the "Windows Update" screen on SHQ-DNS-01 showing the system is fully up to date (e.g., "You're up to date" with a current timestamp).</t>
        </is>
      </c>
      <c r="F6" s="6" t="inlineStr">
        <is>
          <t>Closed</t>
        </is>
      </c>
      <c r="G6" s="69" t="inlineStr">
        <is>
          <t>Document Name:
1. patch_windows_domain_controller_actual_evidences</t>
        </is>
      </c>
      <c r="H6" s="141" t="inlineStr">
        <is>
          <t>https://ejabi-infosec.box.com/s/tudaudtg1ytnxpb1ovtvg85dnxrc6rse</t>
        </is>
      </c>
      <c r="I6" s="142" t="n"/>
      <c r="J6" s="57" t="inlineStr">
        <is>
          <t>Done</t>
        </is>
      </c>
      <c r="K6" s="176" t="inlineStr">
        <is>
          <t>https://fibtask.atlassian.net/browse/FIBXPI-1093</t>
        </is>
      </c>
    </row>
    <row r="7" ht="99" customHeight="1">
      <c r="A7" s="8" t="n">
        <v>5</v>
      </c>
      <c r="B7" s="225" t="n"/>
      <c r="C7" s="225" t="n"/>
      <c r="D7" s="69" t="inlineStr">
        <is>
          <t>Establish Patching Schedule: Verify that a formal patch management policy is in place to deploy critical security patches within 30 days of release (PCI DSS Requirement 6.3.3).</t>
        </is>
      </c>
      <c r="E7" s="69" t="inlineStr">
        <is>
          <t>2. Update History Proof: Provide a screenshot of the "View update history" screen showing the successful installation of KB5094128 and KB5088862.</t>
        </is>
      </c>
      <c r="F7" s="6" t="inlineStr">
        <is>
          <t>OPEN</t>
        </is>
      </c>
      <c r="G7" s="69" t="n"/>
      <c r="H7" s="139" t="n"/>
      <c r="I7" s="140" t="n"/>
      <c r="J7" s="61" t="inlineStr">
        <is>
          <t>In progress</t>
        </is>
      </c>
      <c r="K7" s="176" t="inlineStr">
        <is>
          <t>https://fibtask.atlassian.net/browse/FIBXPI-1094</t>
        </is>
      </c>
    </row>
    <row r="8" ht="109.5" customHeight="1">
      <c r="A8" s="8" t="n">
        <v>6</v>
      </c>
      <c r="B8" s="69" t="inlineStr">
        <is>
          <t>Windows User Account Review</t>
        </is>
      </c>
      <c r="C8" s="69" t="inlineStr">
        <is>
          <t>Use of Built-in Default Administrator Account: The default Administrator account is active and remains named "Administrator" (Requirement 2.1.1).</t>
        </is>
      </c>
      <c r="D8" s="69" t="inlineStr">
        <is>
          <t>Rename default administrative accounts: Rename the built-in Administrator account to a non-obvious name to mitigate brute-force and automated attacks targeting default administrative names (Requirement 2.1.1).</t>
        </is>
      </c>
      <c r="E8" s="69" t="inlineStr">
        <is>
          <t>User Account Status Output: Provide an updated command prompt or PowerShell output proving that the built-in Guest account is disabled, and the default Administrator account has been renamed:</t>
        </is>
      </c>
      <c r="F8" s="6" t="inlineStr">
        <is>
          <t>OPEN</t>
        </is>
      </c>
      <c r="G8" s="70" t="inlineStr">
        <is>
          <t>The username still shows Admin. Kindly change the user name or provide a document mentioning who is having the accessing and also mention that only that is having access to this account. (a business justification document)</t>
        </is>
      </c>
      <c r="H8" s="141" t="inlineStr">
        <is>
          <t>https://ejabi-infosec.box.com/s/nqhl3t2esa50qdao1bmfjeh4yn94n88f</t>
        </is>
      </c>
      <c r="I8" s="142" t="n"/>
      <c r="J8" s="57" t="inlineStr">
        <is>
          <t>Done</t>
        </is>
      </c>
      <c r="K8" s="176" t="inlineStr">
        <is>
          <t>https://fibtask.atlassian.net/browse/FIBXPI-1095</t>
        </is>
      </c>
    </row>
    <row r="9" ht="100.9" customHeight="1">
      <c r="A9" s="8" t="n">
        <v>7</v>
      </c>
      <c r="B9" s="226" t="n"/>
      <c r="C9" s="224" t="inlineStr">
        <is>
          <t>Built-in Guest Account: The default Guest account exists on the system (Requirement 2.1.1).</t>
        </is>
      </c>
      <c r="D9" s="224" t="inlineStr">
        <is>
          <t>Disable the Guest Account: Ensure that the built-in Guest account is strictly disabled across the Domain Controllers via Group Policy Objects (GPO).</t>
        </is>
      </c>
      <c r="E9" s="69" t="inlineStr">
        <is>
          <t>GPO Verification: Provide a screenshot of the Group Policy settings (e.g., Computer Configuration \ Windows Settings \ Security Settings \ Local Policies \ Security Options) showing "Accounts: Rename administrator account" and "Accounts: Guest account status" set to Disabled.</t>
        </is>
      </c>
      <c r="F9" s="6" t="inlineStr">
        <is>
          <t>Closed</t>
        </is>
      </c>
      <c r="G9" s="69" t="inlineStr">
        <is>
          <t>Document Name:
1. disable_guest_account_evidences</t>
        </is>
      </c>
      <c r="H9" s="141" t="inlineStr">
        <is>
          <t>https://ejabi-infosec.box.com/s/je9ya0f9bpzxo7vm9s6l4jgr3y1jyp0h</t>
        </is>
      </c>
      <c r="I9" s="142" t="n"/>
      <c r="J9" s="57" t="inlineStr">
        <is>
          <t>Done</t>
        </is>
      </c>
      <c r="K9" s="176" t="inlineStr">
        <is>
          <t>https://fibtask.atlassian.net/browse/FIBXPI-1096</t>
        </is>
      </c>
    </row>
    <row r="10" ht="72" customHeight="1">
      <c r="A10" s="8" t="n">
        <v>8</v>
      </c>
      <c r="B10" s="225" t="n"/>
      <c r="C10" s="225" t="n"/>
      <c r="D10" s="225" t="n"/>
      <c r="E10" s="69" t="inlineStr">
        <is>
          <t>Access Justification List: Provide a documented access control list (ACL) justifying any individual admin accounts permitted to access the Domain Controller.</t>
        </is>
      </c>
      <c r="F10" s="6" t="inlineStr">
        <is>
          <t>OPEN</t>
        </is>
      </c>
      <c r="G10" s="70" t="inlineStr">
        <is>
          <t>The justification document provided is fine, but kindly also provide a screenshot from the windows domain controller system, showing the user list.</t>
        </is>
      </c>
      <c r="H10" s="60" t="inlineStr">
        <is>
          <t>https://ejabi-infosec.box.com/s/hiawnjnng3fvq67qfipirrhuo89jygxf</t>
        </is>
      </c>
      <c r="I10" s="142" t="inlineStr">
        <is>
          <t>https://ejabi-infosec.box.com/s/nqhl3t2esa50qdao1bmfjeh4yn94n88f</t>
        </is>
      </c>
      <c r="J10" s="57" t="inlineStr">
        <is>
          <t>Done</t>
        </is>
      </c>
      <c r="K10" s="176" t="inlineStr">
        <is>
          <t>https://fibtask.atlassian.net/browse/FIBXPI-1097</t>
        </is>
      </c>
    </row>
    <row r="11" ht="129.6" customHeight="1">
      <c r="A11" s="8" t="n">
        <v>9</v>
      </c>
      <c r="B11" s="69" t="inlineStr">
        <is>
          <t>Windows Password Policy Review</t>
        </is>
      </c>
      <c r="C11" s="69" t="inlineStr">
        <is>
          <t xml:space="preserve">During the review of the local Account Policies on the Windows Domain Controller (SHQ-DNS-01), a critical non-compliance issue was identified in the password length parameter:
Minimum password length is currently configured to 7 characters.
</t>
        </is>
      </c>
      <c r="D11" s="69" t="inlineStr">
        <is>
          <t>Increase Minimum Password Length:
In accordance with PCI DSS v4.0 Requirement 8.3.6, update the Local/Group Security Policy to enforce a minimum password length of at least 12 characters (or 8 characters only if a legacy system explicitly cannot support 12).</t>
        </is>
      </c>
      <c r="E11" s="69" t="inlineStr">
        <is>
          <t>1. Updated Policy Screenshot: Provide an updated screenshot of the Local Security Policy (or Active Directory Group Policy Management) console on SHQ-DNS-01 demonstrating that the "Minimum password length" is set to at least 12 characters.</t>
        </is>
      </c>
      <c r="F11" s="6" t="inlineStr">
        <is>
          <t>closed</t>
        </is>
      </c>
      <c r="G11" s="69" t="inlineStr">
        <is>
          <t>Document Name:
1. increase_minimum_password_length_correct</t>
        </is>
      </c>
      <c r="H11" s="141" t="inlineStr">
        <is>
          <t>https://ejabi-infosec.box.com/s/8m9y1ivxcssiilcho2s0yi5i1zryk36o</t>
        </is>
      </c>
      <c r="I11" s="142" t="n"/>
      <c r="J11" s="57" t="inlineStr">
        <is>
          <t>Done</t>
        </is>
      </c>
      <c r="K11" s="176" t="inlineStr">
        <is>
          <t>https://fibtask.atlassian.net/browse/FIBXPI-1098</t>
        </is>
      </c>
    </row>
    <row r="12" ht="57.6" customHeight="1">
      <c r="A12" s="8" t="n">
        <v>10</v>
      </c>
      <c r="B12" s="225" t="n"/>
      <c r="C12" s="225" t="n"/>
      <c r="D12" s="225" t="n"/>
      <c r="E12" s="69" t="inlineStr">
        <is>
          <t>Active Directory GPO Proof: Provide a report or screenshot of the Default Domain Policy GPO confirming the 12-character minimum is enforced domain-wide.</t>
        </is>
      </c>
      <c r="F12" s="6" t="inlineStr">
        <is>
          <t>Closed</t>
        </is>
      </c>
      <c r="G12" s="69" t="n"/>
      <c r="H12" s="141" t="inlineStr">
        <is>
          <t>https://ejabi-infosec.box.com/s/8m9y1ivxcssiilcho2s0yi5i1zryk36o</t>
        </is>
      </c>
      <c r="I12" s="142" t="n"/>
      <c r="J12" s="57" t="inlineStr">
        <is>
          <t>Done</t>
        </is>
      </c>
    </row>
    <row r="13" ht="360" customHeight="1">
      <c r="A13" s="8" t="n">
        <v>11</v>
      </c>
      <c r="B13" s="7" t="inlineStr">
        <is>
          <t>Windows Account Lockout Policy Review</t>
        </is>
      </c>
      <c r="C13" s="69" t="inlineStr">
        <is>
          <t xml:space="preserve">During the review of the local Account Policies on the Windows Domain Controller (SHQ-DNS-01), a critical non-compliance issue was identified in the account lockout settings:
Account lockout threshold is currently configured to 0 invalid logon attempts (disabled).
Account lockout duration is set to Not Applicable.
</t>
        </is>
      </c>
      <c r="D13" s="69" t="inlineStr">
        <is>
          <t>Configure Account Lockout Parameters:
Implement strict lockout policies to meet PCI DSS v4.0 requirements:
1. Lockout Threshold (Req 8.3.4): Set the threshold to no more than 10 invalid login attempts (e.g., set to 5 or 10 attempts).
2. Lockout Duration (Req 8.3.7): Set the lockout duration to a minimum of 30 minutes (or until an administrator manually resets the account).
3. Reset Lockout Counter: Set the counter reset time to at least 30 minutes to align with the lockout duration.</t>
        </is>
      </c>
      <c r="E13" s="69" t="inlineStr">
        <is>
          <t>1. Updated Policy Screenshot: Provide an updated screenshot of the Local Security Policy (or Active Directory Group Policy Management) console on SHQ-DNS-01 demonstrating the following applied settings:
• Account lockout threshold: 10 or fewer attempts
• Account lockout duration: 30 or more minutes
• Reset account lockout counter after: 30 or more minutes
2. Active Directory GPO Proof: Provide a report or screenshot of the Default Domain Policy GPO confirming these lockout parameters are enforced domain-wide.</t>
        </is>
      </c>
      <c r="F13" s="6" t="inlineStr">
        <is>
          <t>Closed</t>
        </is>
      </c>
      <c r="G13" s="69" t="n"/>
      <c r="H13" s="141" t="inlineStr">
        <is>
          <t>https://ejabi-infosec.box.com/s/a5i3lxe0wj7peeu4vd8ukpozajnplvxi</t>
        </is>
      </c>
      <c r="I13" s="142" t="n"/>
      <c r="J13" s="57" t="inlineStr">
        <is>
          <t>Done</t>
        </is>
      </c>
      <c r="K13" s="59" t="inlineStr">
        <is>
          <t>https://fibtask.atlassian.net/browse/FIBXPI-1099</t>
        </is>
      </c>
    </row>
    <row r="14" ht="201.6" customHeight="1">
      <c r="A14" s="9" t="n">
        <v>12</v>
      </c>
      <c r="B14" s="10" t="inlineStr">
        <is>
          <t>Windows Security Options Review</t>
        </is>
      </c>
      <c r="C14" s="11" t="inlineStr">
        <is>
          <t>During the configuration review of the Local Security Options on the Windows Domain Controller (SHQ-DNS-01), several security-hardening and authentication-related gaps were identified:
1. Interactive Logon Session Idle Timeout: The setting Interactive logon: Machine inactivity limit is set to Not Defined, allowing user sessions to remain open indefinitely when idle.</t>
        </is>
      </c>
      <c r="D14" s="11" t="inlineStr">
        <is>
          <t xml:space="preserve">1. Enforce Idle Lockouts: Set Interactive logon: Machine inactivity limit to 900 seconds (15 minutes) or less to satisfy PCI DSS v4.0 Requirement 8.2.8 for securing idle workspace sessions.
</t>
        </is>
      </c>
      <c r="E14" s="11" t="inlineStr">
        <is>
          <t>1. Updated Local Security Policy Screenshot: Provide a screenshot of the Security Options panel under Local Security Policy on SHQ-DNS-01 demonstrating that:
• Interactive logon: Machine inactivity limit is configured to 900 (or fewer) seconds.</t>
        </is>
      </c>
      <c r="F14" s="12" t="inlineStr">
        <is>
          <t>Closed</t>
        </is>
      </c>
      <c r="G14" s="11" t="n"/>
      <c r="H14" s="141" t="inlineStr">
        <is>
          <t>https://ejabi-infosec.box.com/s/0da59lwt7tladtmvgfuki4n2hs5eo8ub</t>
        </is>
      </c>
      <c r="I14" s="142" t="n"/>
      <c r="J14" s="57" t="inlineStr">
        <is>
          <t>Done</t>
        </is>
      </c>
      <c r="K14" s="176" t="inlineStr">
        <is>
          <t>https://fibtask.atlassian.net/browse/FIBXPI-1100</t>
        </is>
      </c>
    </row>
    <row r="15"/>
    <row r="16"/>
    <row r="17"/>
    <row r="18"/>
    <row r="19"/>
    <row r="20"/>
    <row r="21"/>
    <row r="22"/>
    <row r="23"/>
    <row r="24"/>
    <row r="25"/>
    <row r="26"/>
    <row r="27"/>
    <row r="28"/>
    <row r="29"/>
    <row r="30"/>
    <row r="31"/>
    <row r="32"/>
    <row r="33"/>
    <row r="34"/>
    <row r="35"/>
    <row r="36"/>
    <row r="37"/>
    <row r="38">
      <c r="D38" s="1" t="n"/>
    </row>
    <row r="39">
      <c r="D39" s="1" t="n"/>
    </row>
    <row r="40">
      <c r="D40" s="1" t="n"/>
    </row>
  </sheetData>
  <autoFilter ref="A2:J14"/>
  <mergeCells count="10">
    <mergeCell ref="C9:C10"/>
    <mergeCell ref="D9:D10"/>
    <mergeCell ref="K11:K12"/>
    <mergeCell ref="B11:B12"/>
    <mergeCell ref="D11:D12"/>
    <mergeCell ref="C11:C12"/>
    <mergeCell ref="A1:H1"/>
    <mergeCell ref="B8:B10"/>
    <mergeCell ref="C6:C7"/>
    <mergeCell ref="B6:B7"/>
  </mergeCells>
  <conditionalFormatting sqref="F1:F1048576">
    <cfRule type="containsText" priority="1" operator="containsText" dxfId="5" text="Open">
      <formula>NOT(ISERROR(SEARCH("Open",F1)))</formula>
    </cfRule>
    <cfRule type="containsText" priority="2" operator="containsText" dxfId="0" text="Closed">
      <formula>NOT(ISERROR(SEARCH("Closed",F1)))</formula>
    </cfRule>
    <cfRule type="containsText" priority="3" operator="containsText" dxfId="3" text="Partial">
      <formula>NOT(ISERROR(SEARCH("Partial",F1)))</formula>
    </cfRule>
    <cfRule type="containsText" priority="4" operator="containsText" dxfId="2" text="Closed">
      <formula>NOT(ISERROR(SEARCH("Closed",F1)))</formula>
    </cfRule>
    <cfRule type="containsText" priority="5" operator="containsText" dxfId="0" text="Open">
      <formula>NOT(ISERROR(SEARCH("Open",F1)))</formula>
    </cfRule>
    <cfRule type="cellIs" priority="6" operator="between" dxfId="0">
      <formula>$F$3</formula>
      <formula>$F$14</formula>
    </cfRule>
  </conditionalFormatting>
  <dataValidations count="1">
    <dataValidation sqref="F2 BU10" showDropDown="0" showInputMessage="1" showErrorMessage="1" allowBlank="1" type="list">
      <formula1>$D$38:$D$40</formula1>
    </dataValidation>
  </dataValidations>
  <hyperlinks>
    <hyperlink xmlns:r="http://schemas.openxmlformats.org/officeDocument/2006/relationships" ref="K3" r:id="rId1"/>
    <hyperlink xmlns:r="http://schemas.openxmlformats.org/officeDocument/2006/relationships" ref="H4" r:id="rId2"/>
    <hyperlink xmlns:r="http://schemas.openxmlformats.org/officeDocument/2006/relationships" ref="K4" r:id="rId3"/>
    <hyperlink xmlns:r="http://schemas.openxmlformats.org/officeDocument/2006/relationships" ref="H5" display="https://ejabi-infosec.box.com/s/mwotf8ed28mso5h36my5emyslontlgqg" r:id="rId4"/>
    <hyperlink xmlns:r="http://schemas.openxmlformats.org/officeDocument/2006/relationships" ref="K5" r:id="rId5"/>
    <hyperlink xmlns:r="http://schemas.openxmlformats.org/officeDocument/2006/relationships" ref="H6" r:id="rId6"/>
    <hyperlink xmlns:r="http://schemas.openxmlformats.org/officeDocument/2006/relationships" ref="K6" r:id="rId7"/>
    <hyperlink xmlns:r="http://schemas.openxmlformats.org/officeDocument/2006/relationships" ref="K7" r:id="rId8"/>
    <hyperlink xmlns:r="http://schemas.openxmlformats.org/officeDocument/2006/relationships" ref="H8" r:id="rId9"/>
    <hyperlink xmlns:r="http://schemas.openxmlformats.org/officeDocument/2006/relationships" ref="K8" r:id="rId10"/>
    <hyperlink xmlns:r="http://schemas.openxmlformats.org/officeDocument/2006/relationships" ref="H9" r:id="rId11"/>
    <hyperlink xmlns:r="http://schemas.openxmlformats.org/officeDocument/2006/relationships" ref="K9" r:id="rId12"/>
    <hyperlink xmlns:r="http://schemas.openxmlformats.org/officeDocument/2006/relationships" ref="H10" r:id="rId13"/>
    <hyperlink xmlns:r="http://schemas.openxmlformats.org/officeDocument/2006/relationships" ref="I10" r:id="rId14"/>
    <hyperlink xmlns:r="http://schemas.openxmlformats.org/officeDocument/2006/relationships" ref="K10" r:id="rId15"/>
    <hyperlink xmlns:r="http://schemas.openxmlformats.org/officeDocument/2006/relationships" ref="H11" r:id="rId16"/>
    <hyperlink xmlns:r="http://schemas.openxmlformats.org/officeDocument/2006/relationships" ref="K11" r:id="rId17"/>
    <hyperlink xmlns:r="http://schemas.openxmlformats.org/officeDocument/2006/relationships" ref="H12" r:id="rId18"/>
    <hyperlink xmlns:r="http://schemas.openxmlformats.org/officeDocument/2006/relationships" ref="H13" r:id="rId19"/>
    <hyperlink xmlns:r="http://schemas.openxmlformats.org/officeDocument/2006/relationships" ref="K13" r:id="rId20"/>
    <hyperlink xmlns:r="http://schemas.openxmlformats.org/officeDocument/2006/relationships" ref="H14" r:id="rId21"/>
    <hyperlink xmlns:r="http://schemas.openxmlformats.org/officeDocument/2006/relationships" ref="K14" r:id="rId22"/>
  </hyperlink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J19"/>
  <sheetViews>
    <sheetView tabSelected="1" topLeftCell="A10" zoomScale="60" zoomScaleNormal="60" workbookViewId="0">
      <selection activeCell="J18" sqref="J18"/>
    </sheetView>
  </sheetViews>
  <sheetFormatPr baseColWidth="8" defaultColWidth="8.85546875" defaultRowHeight="15" customHeight="1"/>
  <cols>
    <col width="8.140625" customWidth="1" style="1" min="1" max="1"/>
    <col width="17.85546875" customWidth="1" style="1" min="2" max="2"/>
    <col width="49.42578125" customWidth="1" style="1" min="3" max="3"/>
    <col width="37.7109375" customWidth="1" style="1" min="4" max="4"/>
    <col width="36.140625" customWidth="1" style="1" min="5" max="5"/>
    <col width="33.5703125" customWidth="1" style="1" min="6" max="6"/>
    <col width="30.5703125" customWidth="1" style="1" min="7" max="7"/>
    <col width="21.140625" customWidth="1" style="1" min="8" max="8"/>
    <col width="12.7109375" customWidth="1" style="1" min="9" max="9"/>
    <col width="8.85546875" customWidth="1" style="1" min="10" max="16384"/>
  </cols>
  <sheetData>
    <row r="1" ht="34.9" customHeight="1">
      <c r="A1" s="227" t="inlineStr">
        <is>
          <t>HR &amp; Access Control Gaps &amp; Recommendations</t>
        </is>
      </c>
      <c r="B1" s="222" t="n"/>
      <c r="C1" s="222" t="n"/>
      <c r="D1" s="222" t="n"/>
      <c r="E1" s="222" t="n"/>
      <c r="F1" s="222" t="n"/>
      <c r="G1" s="222" t="n"/>
      <c r="H1" s="228" t="n"/>
      <c r="I1" s="144" t="inlineStr">
        <is>
          <t>23 3 Open</t>
        </is>
      </c>
    </row>
    <row r="2" ht="30" customFormat="1" customHeight="1" s="2">
      <c r="A2" s="145" t="inlineStr">
        <is>
          <t>Sr. No.</t>
        </is>
      </c>
      <c r="B2" s="146" t="inlineStr">
        <is>
          <t>Section Covered</t>
        </is>
      </c>
      <c r="C2" s="146" t="inlineStr">
        <is>
          <t>Key Observations</t>
        </is>
      </c>
      <c r="D2" s="146" t="inlineStr">
        <is>
          <t>Recommendations</t>
        </is>
      </c>
      <c r="E2" s="146" t="inlineStr">
        <is>
          <t>Evidence Required</t>
        </is>
      </c>
      <c r="F2" s="146" t="inlineStr">
        <is>
          <t>Status</t>
        </is>
      </c>
      <c r="G2" s="18" t="inlineStr">
        <is>
          <t>Client Comments</t>
        </is>
      </c>
      <c r="H2" s="18" t="inlineStr">
        <is>
          <t>Client Comments</t>
        </is>
      </c>
      <c r="I2" s="146" t="n"/>
      <c r="J2" s="162" t="inlineStr">
        <is>
          <t>Link</t>
        </is>
      </c>
    </row>
    <row r="3" ht="81" customHeight="1">
      <c r="A3" s="147" t="n">
        <v>1</v>
      </c>
      <c r="B3" s="148" t="inlineStr">
        <is>
          <t>HR Team</t>
        </is>
      </c>
      <c r="C3" s="148" t="inlineStr">
        <is>
          <t>Documented HR policy defining personnel security controls, including employee screening, confidentiality obligations, onboarding, offboarding, disciplinary actions, and security responsibilities.</t>
        </is>
      </c>
      <c r="D3" s="149" t="inlineStr">
        <is>
          <t>Update and maintain the HR Security Policy document. Ensure the updated policy includes the current date and formal approval signature.</t>
        </is>
      </c>
      <c r="E3" s="150" t="inlineStr">
        <is>
          <t>Document needed: HR Security Policy</t>
        </is>
      </c>
      <c r="F3" s="151" t="inlineStr">
        <is>
          <t>OPEN</t>
        </is>
      </c>
      <c r="G3" s="152" t="inlineStr">
        <is>
          <t>https://ejabi-infosec.box.com/s/5t78yday602ccef193h42all8rxd6n31</t>
        </is>
      </c>
      <c r="H3" s="153" t="inlineStr">
        <is>
          <t xml:space="preserve"> </t>
        </is>
      </c>
      <c r="I3" s="154" t="inlineStr">
        <is>
          <t>Done</t>
        </is>
      </c>
      <c r="J3" s="156" t="inlineStr">
        <is>
          <t>https://fibtask.atlassian.net/browse/FIBXPI-1101</t>
        </is>
      </c>
    </row>
    <row r="4" ht="101.25" customHeight="1">
      <c r="A4" s="147" t="n">
        <v>2</v>
      </c>
      <c r="B4" s="148" t="inlineStr">
        <is>
          <t>HR Team</t>
        </is>
      </c>
      <c r="C4" s="148" t="inlineStr">
        <is>
          <t>Sample records demonstrating that pre-employment background verification has been completed for personnel in accordance with the organization's policy before granting system access.</t>
        </is>
      </c>
      <c r="D4" s="149" t="inlineStr">
        <is>
          <t>Maintain periodic background verification sampling records for all personnel with access to sensitive environments.</t>
        </is>
      </c>
      <c r="E4" s="150" t="inlineStr">
        <is>
          <t>Document needed: Sample of Background Verification Reports</t>
        </is>
      </c>
      <c r="F4" s="155" t="inlineStr">
        <is>
          <t>Closed</t>
        </is>
      </c>
      <c r="G4" s="156" t="inlineStr">
        <is>
          <t>https://ejabi-infosec.box.com/s/ov90ib8b81l3crm5b2xbfqbdrzfnnnxo</t>
        </is>
      </c>
      <c r="H4" s="157" t="inlineStr">
        <is>
          <t xml:space="preserve"> </t>
        </is>
      </c>
      <c r="I4" s="158" t="inlineStr">
        <is>
          <t>Done</t>
        </is>
      </c>
      <c r="J4" s="156" t="inlineStr">
        <is>
          <t>https://fibtask.atlassian.net/browse/FIBXPI-1101</t>
        </is>
      </c>
    </row>
    <row r="5" ht="81" customHeight="1">
      <c r="A5" s="147" t="n">
        <v>3</v>
      </c>
      <c r="B5" s="148" t="inlineStr">
        <is>
          <t>HR Team</t>
        </is>
      </c>
      <c r="C5" s="148" t="inlineStr">
        <is>
          <t>Sample employment contracts and confidentiality agreements containing information security responsibilities, confidentiality obligations, acceptable use clauses, and data protection requirements.</t>
        </is>
      </c>
      <c r="D5" s="149" t="inlineStr">
        <is>
          <t>Ensure all employees sign confidentiality agreements prior to granting system/data access.</t>
        </is>
      </c>
      <c r="E5" s="150" t="inlineStr">
        <is>
          <t>Document needed: Sample of Employment Contracts / NDAs</t>
        </is>
      </c>
      <c r="F5" s="155" t="inlineStr">
        <is>
          <t>Closed</t>
        </is>
      </c>
      <c r="G5" s="159" t="inlineStr">
        <is>
          <t>https://ejabi-infosec.box.com/s/2rwynkqe2l5q6j5uzy4945jj3g0gu9ge</t>
        </is>
      </c>
      <c r="H5" s="160" t="inlineStr">
        <is>
          <t>https://ejabi-infosec.box.com/s/hu7piba951k6t3m1lpy1sgnapxjgoi9p</t>
        </is>
      </c>
      <c r="I5" s="158" t="inlineStr">
        <is>
          <t>Done</t>
        </is>
      </c>
      <c r="J5" s="156" t="inlineStr">
        <is>
          <t>https://fibtask.atlassian.net/browse/FIBXPI-1101</t>
        </is>
      </c>
    </row>
    <row r="6" ht="81" customHeight="1">
      <c r="A6" s="147" t="n">
        <v>4</v>
      </c>
      <c r="B6" s="148" t="inlineStr">
        <is>
          <t>HR Team</t>
        </is>
      </c>
      <c r="C6" s="148" t="inlineStr">
        <is>
          <t>Signed confidentiality or non-disclosure agreements with third-party service providers who have access to organizational systems or cardholder data.</t>
        </is>
      </c>
      <c r="D6" s="149" t="inlineStr">
        <is>
          <t>Maintain signed NDA copies for all active third-party service providers.</t>
        </is>
      </c>
      <c r="E6" s="150" t="inlineStr">
        <is>
          <t>Document needed: Signed NDA Copies with Service Providers</t>
        </is>
      </c>
      <c r="F6" s="155" t="inlineStr">
        <is>
          <t>Closed</t>
        </is>
      </c>
      <c r="G6" s="152" t="inlineStr">
        <is>
          <t>https://ejabi-infosec.box.com/s/izhpxgg6zkss1cm9a5d3i0ju5onp2b7v</t>
        </is>
      </c>
      <c r="H6" s="153" t="inlineStr">
        <is>
          <t xml:space="preserve"> </t>
        </is>
      </c>
      <c r="I6" s="158" t="inlineStr">
        <is>
          <t>Done</t>
        </is>
      </c>
      <c r="J6" s="156" t="inlineStr">
        <is>
          <t>https://fibtask.atlassian.net/browse/FIBXPI-1101</t>
        </is>
      </c>
    </row>
    <row r="7" ht="81" customHeight="1">
      <c r="A7" s="147" t="n">
        <v>5</v>
      </c>
      <c r="B7" s="148" t="inlineStr">
        <is>
          <t>HR Team</t>
        </is>
      </c>
      <c r="C7" s="148" t="inlineStr">
        <is>
          <t>Security awareness training materials, attendance records, completion reports, and employee acknowledgements demonstrating periodic security awareness training, including PCI DSS-related topics where applicable.</t>
        </is>
      </c>
      <c r="D7" s="149" t="inlineStr">
        <is>
          <t>Conduct and document annual security awareness training for all personnel.</t>
        </is>
      </c>
      <c r="E7" s="150" t="inlineStr">
        <is>
          <t>Document needed: Security Awareness Training Records</t>
        </is>
      </c>
      <c r="F7" s="155" t="inlineStr">
        <is>
          <t>Closed</t>
        </is>
      </c>
      <c r="G7" s="152" t="inlineStr">
        <is>
          <t>https://ejabi-infosec.box.com/s/izhpxgg6zkss1cm9a5d3i0ju5onp2b7v</t>
        </is>
      </c>
      <c r="H7" s="161" t="inlineStr">
        <is>
          <t>https://ejabi-infosec.box.com/s/oqh0d9nb94gwm13hmubl11kk95onis0e</t>
        </is>
      </c>
      <c r="I7" s="158" t="inlineStr">
        <is>
          <t>Done</t>
        </is>
      </c>
      <c r="J7" s="156" t="inlineStr">
        <is>
          <t>https://fibtask.atlassian.net/browse/FIBXPI-1101</t>
        </is>
      </c>
    </row>
    <row r="8" ht="81" customHeight="1">
      <c r="A8" s="147" t="n">
        <v>6</v>
      </c>
      <c r="B8" s="148" t="inlineStr">
        <is>
          <t>HR Team</t>
        </is>
      </c>
      <c r="C8" s="148" t="inlineStr">
        <is>
          <t>Standard employee background verification checklist indicating the screening activities performed before employment, including identity verification and other applicable checks.</t>
        </is>
      </c>
      <c r="D8" s="149" t="inlineStr">
        <is>
          <t>Standardize screening verification checklists across all hires.</t>
        </is>
      </c>
      <c r="E8" s="150" t="inlineStr">
        <is>
          <t>Document needed: Background Checklist for Employees</t>
        </is>
      </c>
      <c r="F8" s="155" t="inlineStr">
        <is>
          <t>Closed</t>
        </is>
      </c>
      <c r="G8" s="152" t="inlineStr">
        <is>
          <t>https://ejabi-infosec.box.com/s/kgquwhbfijky2x4yjrh3dmk8eb32slmj</t>
        </is>
      </c>
      <c r="H8" s="161" t="inlineStr">
        <is>
          <t>https://ejabi-infosec.box.com/s/r6ycpkpx696g1q1rdmq2onazm3cwwv0g</t>
        </is>
      </c>
      <c r="I8" s="158" t="inlineStr">
        <is>
          <t>Done</t>
        </is>
      </c>
      <c r="J8" s="156" t="inlineStr">
        <is>
          <t>https://fibtask.atlassian.net/browse/FIBXPI-1101</t>
        </is>
      </c>
    </row>
    <row r="9" ht="81" customHeight="1">
      <c r="A9" s="147" t="n">
        <v>7</v>
      </c>
      <c r="B9" s="148" t="inlineStr">
        <is>
          <t>HR Team</t>
        </is>
      </c>
      <c r="C9" s="148" t="inlineStr">
        <is>
          <t>Employee onboarding checklist demonstrating completion of HR activities, approvals, security awareness, policy acknowledgements, and coordination with IT for account provisioning.</t>
        </is>
      </c>
      <c r="D9" s="149" t="inlineStr">
        <is>
          <t>Retain completed onboarding checklists for audit review.</t>
        </is>
      </c>
      <c r="E9" s="150" t="inlineStr">
        <is>
          <t>Document needed: HR Onboarding Checklist</t>
        </is>
      </c>
      <c r="F9" s="155" t="inlineStr">
        <is>
          <t>Closed</t>
        </is>
      </c>
      <c r="G9" s="152" t="inlineStr">
        <is>
          <t>https://ejabi-infosec.box.com/s/r6ycpkpx696g1q1rdmq2onazm3cwwv0g</t>
        </is>
      </c>
      <c r="H9" s="153" t="inlineStr">
        <is>
          <t xml:space="preserve"> </t>
        </is>
      </c>
      <c r="I9" s="158" t="inlineStr">
        <is>
          <t>Done</t>
        </is>
      </c>
      <c r="J9" s="156" t="inlineStr">
        <is>
          <t>https://fibtask.atlassian.net/browse/FIBXPI-1101</t>
        </is>
      </c>
    </row>
    <row r="10" ht="81" customHeight="1">
      <c r="A10" s="147" t="n">
        <v>8</v>
      </c>
      <c r="B10" s="148" t="inlineStr">
        <is>
          <t>HR Team</t>
        </is>
      </c>
      <c r="C10" s="148" t="inlineStr">
        <is>
          <t>Sample access request tickets demonstrating the workflow for creating new employee accounts, including business justification, management approval, and access provisioning.</t>
        </is>
      </c>
      <c r="D10" s="149" t="inlineStr">
        <is>
          <t>Enforce documented access request ticketing for all new user creations.</t>
        </is>
      </c>
      <c r="E10" s="150" t="inlineStr">
        <is>
          <t>Document needed: Access Request Tickets</t>
        </is>
      </c>
      <c r="F10" s="155" t="inlineStr">
        <is>
          <t>Closed</t>
        </is>
      </c>
      <c r="G10" s="152" t="inlineStr">
        <is>
          <t>https://ejabi-infosec.box.com/s/7g48f2ed4w8cpoetwqiph9mqj8hezt4v</t>
        </is>
      </c>
      <c r="H10" s="153" t="inlineStr">
        <is>
          <t xml:space="preserve"> </t>
        </is>
      </c>
      <c r="I10" s="158" t="inlineStr">
        <is>
          <t>Done</t>
        </is>
      </c>
      <c r="J10" s="156" t="inlineStr">
        <is>
          <t>https://fibtask.atlassian.net/browse/FIBXPI-1101</t>
        </is>
      </c>
    </row>
    <row r="11" ht="81" customHeight="1">
      <c r="A11" s="147" t="n">
        <v>9</v>
      </c>
      <c r="B11" s="148" t="inlineStr">
        <is>
          <t>HR Team</t>
        </is>
      </c>
      <c r="C11" s="148" t="inlineStr">
        <is>
          <t>Sample requests or change forms demonstrating the process for modifying employee roles and obtaining the necessary approvals before access changes are implemented.</t>
        </is>
      </c>
      <c r="D11" s="149" t="inlineStr">
        <is>
          <t>Enforce formal role transfer/modification approval processes.</t>
        </is>
      </c>
      <c r="E11" s="150" t="inlineStr">
        <is>
          <t>Document needed: Role Transfer Requests</t>
        </is>
      </c>
      <c r="F11" s="155" t="inlineStr">
        <is>
          <t>Closed</t>
        </is>
      </c>
      <c r="G11" s="152" t="inlineStr">
        <is>
          <t>https://ejabi-infosec.box.com/s/dnq5rgxxlc1fki5p0eszango3fd1lvek</t>
        </is>
      </c>
      <c r="H11" s="153" t="inlineStr">
        <is>
          <t xml:space="preserve"> </t>
        </is>
      </c>
      <c r="I11" s="158" t="inlineStr">
        <is>
          <t>Done</t>
        </is>
      </c>
      <c r="J11" s="156" t="inlineStr">
        <is>
          <t>https://fibtask.atlassian.net/browse/FIBXPI-1101</t>
        </is>
      </c>
    </row>
    <row r="12" ht="81" customHeight="1">
      <c r="A12" s="147" t="n">
        <v>10</v>
      </c>
      <c r="B12" s="148" t="inlineStr">
        <is>
          <t>HR Team</t>
        </is>
      </c>
      <c r="C12" s="148" t="inlineStr">
        <is>
          <t>Sample change request or service desk tickets demonstrating that user access rights were modified following approved role changes in accordance with least privilege principles.</t>
        </is>
      </c>
      <c r="D12" s="149" t="inlineStr">
        <is>
          <t>Align access modifications with least privilege requirements.</t>
        </is>
      </c>
      <c r="E12" s="150" t="inlineStr">
        <is>
          <t>Document needed: Access Modification Tickets</t>
        </is>
      </c>
      <c r="F12" s="155" t="inlineStr">
        <is>
          <t>Closed</t>
        </is>
      </c>
      <c r="G12" s="152" t="inlineStr">
        <is>
          <t>https://ejabi-infosec.box.com/s/8xe55f4j0j7p39t1e5g9rwqtkttp769g</t>
        </is>
      </c>
      <c r="H12" s="153" t="inlineStr">
        <is>
          <t xml:space="preserve"> </t>
        </is>
      </c>
      <c r="I12" s="158" t="inlineStr">
        <is>
          <t>Done</t>
        </is>
      </c>
      <c r="J12" s="156" t="inlineStr">
        <is>
          <t>https://fibtask.atlassian.net/browse/FIBXPI-1101</t>
        </is>
      </c>
    </row>
    <row r="13" ht="81" customHeight="1">
      <c r="A13" s="147" t="n">
        <v>11</v>
      </c>
      <c r="B13" s="148" t="inlineStr">
        <is>
          <t>HR Team</t>
        </is>
      </c>
      <c r="C13" s="148" t="inlineStr">
        <is>
          <t>Completed employee exit checklist demonstrating execution of offboarding activities, including account deactivation, asset return, confidentiality reminders, and completion approvals.</t>
        </is>
      </c>
      <c r="D13" s="149" t="inlineStr">
        <is>
          <t>Execute timely deactivation and offboarding per documented exit procedure.</t>
        </is>
      </c>
      <c r="E13" s="150" t="inlineStr">
        <is>
          <t>Document needed: Employee Exit Checklist</t>
        </is>
      </c>
      <c r="F13" s="155" t="inlineStr">
        <is>
          <t>Closed</t>
        </is>
      </c>
      <c r="G13" s="152" t="inlineStr">
        <is>
          <t>https://ejabi-infosec.box.com/s/wwjz5bb7oqkgl7ad5kxvt79w7htonpqv</t>
        </is>
      </c>
      <c r="H13" s="153" t="inlineStr">
        <is>
          <t xml:space="preserve"> </t>
        </is>
      </c>
      <c r="I13" s="158" t="inlineStr">
        <is>
          <t>Done</t>
        </is>
      </c>
      <c r="J13" s="156" t="inlineStr">
        <is>
          <t>https://fibtask.atlassian.net/browse/FIBXPI-1101</t>
        </is>
      </c>
    </row>
    <row r="14" ht="81" customHeight="1">
      <c r="A14" s="147" t="n">
        <v>12</v>
      </c>
      <c r="B14" s="148" t="inlineStr">
        <is>
          <t>HR Team</t>
        </is>
      </c>
      <c r="C14" s="148" t="inlineStr">
        <is>
          <t>Records demonstrating the return of organizational assets and timely revocation of logical and physical access upon employee termination or resignation.</t>
        </is>
      </c>
      <c r="D14" s="149" t="inlineStr">
        <is>
          <t>Revoke physical and logical access immediately upon termination.</t>
        </is>
      </c>
      <c r="E14" s="150" t="inlineStr">
        <is>
          <t>Document needed: IT Assets &amp; Access Revocation Documents</t>
        </is>
      </c>
      <c r="F14" s="155" t="inlineStr">
        <is>
          <t>Closed</t>
        </is>
      </c>
      <c r="G14" s="152" t="inlineStr">
        <is>
          <t>https://ejabi-infosec.box.com/s/w5q1ntlxl3xqm4hw1e4neymjn4ekfsb6</t>
        </is>
      </c>
      <c r="H14" s="161" t="inlineStr">
        <is>
          <t>https://ejabi-infosec.box.com/s/12hd0nfsln9uiqu7sden06v6mtxgwlgg</t>
        </is>
      </c>
      <c r="I14" s="158" t="inlineStr">
        <is>
          <t>Done</t>
        </is>
      </c>
      <c r="J14" s="156" t="inlineStr">
        <is>
          <t>https://fibtask.atlassian.net/browse/FIBXPI-1101</t>
        </is>
      </c>
    </row>
    <row r="15" ht="81" customHeight="1">
      <c r="A15" s="147" t="n">
        <v>13</v>
      </c>
      <c r="B15" s="148" t="inlineStr">
        <is>
          <t>HR Team</t>
        </is>
      </c>
      <c r="C15" s="148" t="inlineStr">
        <is>
          <t>Current employee handbook containing information security responsibilities, acceptable use requirements, confidentiality obligations, disciplinary procedures, and reporting requirements.</t>
        </is>
      </c>
      <c r="D15" s="149" t="inlineStr">
        <is>
          <t>Maintain up-to-date employee handbook with security policy acknowledgements.</t>
        </is>
      </c>
      <c r="E15" s="150" t="inlineStr">
        <is>
          <t>Document needed: Employee Handbook</t>
        </is>
      </c>
      <c r="F15" s="155" t="inlineStr">
        <is>
          <t>Closed</t>
        </is>
      </c>
      <c r="G15" s="152" t="inlineStr">
        <is>
          <t>https://ejabi-infosec.box.com/s/4phqwd8yo3digac5pvsaf7u9bbh5mzyp</t>
        </is>
      </c>
      <c r="H15" s="161" t="inlineStr">
        <is>
          <t>https://ejabi-infosec.box.com/s/13w12cuwmdqys2ax3lhqm8iepngtvhli</t>
        </is>
      </c>
      <c r="I15" s="158" t="inlineStr">
        <is>
          <t>Done</t>
        </is>
      </c>
      <c r="J15" s="156" t="inlineStr">
        <is>
          <t>https://fibtask.atlassian.net/browse/FIBXPI-1101</t>
        </is>
      </c>
    </row>
    <row r="16" ht="81" customHeight="1">
      <c r="A16" s="147" t="n">
        <v>15</v>
      </c>
      <c r="B16" s="148" t="inlineStr">
        <is>
          <t>Platform / Access Control</t>
        </is>
      </c>
      <c r="C16" s="148" t="inlineStr">
        <is>
          <t>Documented policy or procedure defining Multi-Factor Authentication (MFA) requirements, scope, authentication methods, exceptions, and administrative responsibilities.</t>
        </is>
      </c>
      <c r="D16" s="149" t="inlineStr">
        <is>
          <t>Maintain documented MFA policy/procedure covering administrative access.</t>
        </is>
      </c>
      <c r="E16" s="150" t="inlineStr">
        <is>
          <t>Document needed: MFA Policy or Procedure</t>
        </is>
      </c>
      <c r="F16" s="155" t="inlineStr">
        <is>
          <t>Closed</t>
        </is>
      </c>
      <c r="G16" s="152" t="inlineStr">
        <is>
          <t>https://ejabi-infosec.box.com/s/7w1fxf4tyh96ij6r1jpc4ucnpe2ieivw</t>
        </is>
      </c>
      <c r="H16" s="153" t="inlineStr">
        <is>
          <t xml:space="preserve"> </t>
        </is>
      </c>
      <c r="I16" s="158" t="inlineStr">
        <is>
          <t>Done</t>
        </is>
      </c>
      <c r="J16" s="156" t="inlineStr">
        <is>
          <t>https://fibtask.atlassian.net/browse/FIBXPI-1101</t>
        </is>
      </c>
    </row>
    <row r="17" ht="81" customHeight="1">
      <c r="A17" s="147" t="n">
        <v>16</v>
      </c>
      <c r="B17" s="148" t="inlineStr">
        <is>
          <t>Platform / Access Control</t>
        </is>
      </c>
      <c r="C17" s="148" t="inlineStr">
        <is>
          <t>Configuration documentation or screenshots demonstrating MFA implementation for Operations personnel and privileged administrators accessing the PCI environment or critical systems.</t>
        </is>
      </c>
      <c r="D17" s="149" t="inlineStr">
        <is>
          <t>Enforce MFA across all administrative sessions.</t>
        </is>
      </c>
      <c r="E17" s="150" t="inlineStr">
        <is>
          <t>Document needed: MFA Configuration Documentation</t>
        </is>
      </c>
      <c r="F17" s="155" t="inlineStr">
        <is>
          <t>Closed</t>
        </is>
      </c>
      <c r="G17" s="152" t="inlineStr">
        <is>
          <t>https://fibtask.atlassian.net/browse/FIBXPI-1102</t>
        </is>
      </c>
      <c r="H17" s="153" t="inlineStr">
        <is>
          <t xml:space="preserve"> </t>
        </is>
      </c>
      <c r="I17" s="158" t="inlineStr">
        <is>
          <t>Done</t>
        </is>
      </c>
      <c r="J17" s="156" t="inlineStr">
        <is>
          <t>https://fibtask.atlassian.net/browse/FIBXPI-1101</t>
        </is>
      </c>
    </row>
    <row r="18" ht="81" customHeight="1">
      <c r="A18" s="147" t="n">
        <v>17</v>
      </c>
      <c r="B18" s="148" t="inlineStr">
        <is>
          <t>Platform / Access Control</t>
        </is>
      </c>
      <c r="C18" s="148" t="inlineStr">
        <is>
          <t>Sample authentication logs demonstrating MFA enrollment, successful authentications, failed authentication attempts, and related audit events for Operations and privileged users.</t>
        </is>
      </c>
      <c r="D18" s="149" t="inlineStr">
        <is>
          <t>Retain MFA logs for audit verification.</t>
        </is>
      </c>
      <c r="E18" s="150" t="inlineStr">
        <is>
          <t>Document needed: MFA Enrollment &amp; Authentication Logs</t>
        </is>
      </c>
      <c r="F18" s="155" t="inlineStr">
        <is>
          <t>Closed</t>
        </is>
      </c>
      <c r="G18" s="152" t="inlineStr">
        <is>
          <t>https://ejabi-infosec.box.com/s/kbaplfapf2k44m1hhpvcw53gpt81nqnq</t>
        </is>
      </c>
      <c r="H18" s="153" t="inlineStr">
        <is>
          <t xml:space="preserve"> </t>
        </is>
      </c>
      <c r="I18" s="158" t="inlineStr">
        <is>
          <t>Done</t>
        </is>
      </c>
      <c r="J18" s="156" t="inlineStr">
        <is>
          <t>https://fibtask.atlassian.net/browse/FIBXPI-1101</t>
        </is>
      </c>
    </row>
    <row r="19">
      <c r="A19" s="162" t="n"/>
      <c r="B19" s="162" t="n"/>
      <c r="C19" s="162" t="n"/>
      <c r="D19" s="162" t="n"/>
      <c r="E19" s="162" t="n"/>
      <c r="F19" s="162" t="n"/>
      <c r="G19" s="162" t="n"/>
      <c r="H19" s="162" t="n"/>
      <c r="I19" s="162" t="n"/>
    </row>
  </sheetData>
  <mergeCells count="1">
    <mergeCell ref="A1:H1"/>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H5" r:id="rId4"/>
    <hyperlink xmlns:r="http://schemas.openxmlformats.org/officeDocument/2006/relationships" ref="G6" r:id="rId5"/>
    <hyperlink xmlns:r="http://schemas.openxmlformats.org/officeDocument/2006/relationships" ref="G7" r:id="rId6"/>
    <hyperlink xmlns:r="http://schemas.openxmlformats.org/officeDocument/2006/relationships" ref="H7" r:id="rId7"/>
    <hyperlink xmlns:r="http://schemas.openxmlformats.org/officeDocument/2006/relationships" ref="G8" r:id="rId8"/>
    <hyperlink xmlns:r="http://schemas.openxmlformats.org/officeDocument/2006/relationships" ref="H8" r:id="rId9"/>
    <hyperlink xmlns:r="http://schemas.openxmlformats.org/officeDocument/2006/relationships" ref="G9" r:id="rId10"/>
    <hyperlink xmlns:r="http://schemas.openxmlformats.org/officeDocument/2006/relationships" ref="G10" r:id="rId11"/>
    <hyperlink xmlns:r="http://schemas.openxmlformats.org/officeDocument/2006/relationships" ref="G11" r:id="rId12"/>
    <hyperlink xmlns:r="http://schemas.openxmlformats.org/officeDocument/2006/relationships" ref="G12" r:id="rId13"/>
    <hyperlink xmlns:r="http://schemas.openxmlformats.org/officeDocument/2006/relationships" ref="G13" r:id="rId14"/>
    <hyperlink xmlns:r="http://schemas.openxmlformats.org/officeDocument/2006/relationships" ref="G14" r:id="rId15"/>
    <hyperlink xmlns:r="http://schemas.openxmlformats.org/officeDocument/2006/relationships" ref="H14" r:id="rId16"/>
    <hyperlink xmlns:r="http://schemas.openxmlformats.org/officeDocument/2006/relationships" ref="G15" r:id="rId17"/>
    <hyperlink xmlns:r="http://schemas.openxmlformats.org/officeDocument/2006/relationships" ref="H15" r:id="rId18"/>
    <hyperlink xmlns:r="http://schemas.openxmlformats.org/officeDocument/2006/relationships" ref="G16" r:id="rId19"/>
    <hyperlink xmlns:r="http://schemas.openxmlformats.org/officeDocument/2006/relationships" ref="G17" r:id="rId20"/>
    <hyperlink xmlns:r="http://schemas.openxmlformats.org/officeDocument/2006/relationships" ref="G18" r:id="rId21"/>
  </hyperlinks>
  <pageMargins left="0.7" right="0.7" top="0.75" bottom="0.75" header="0.3" footer="0.3"/>
</worksheet>
</file>

<file path=xl/worksheets/sheet4.xml><?xml version="1.0" encoding="utf-8"?>
<worksheet xmlns="http://schemas.openxmlformats.org/spreadsheetml/2006/main">
  <sheetPr filterMode="1">
    <outlinePr summaryBelow="1" summaryRight="1"/>
    <pageSetUpPr/>
  </sheetPr>
  <dimension ref="A1:L40"/>
  <sheetViews>
    <sheetView zoomScale="60" zoomScaleNormal="60" workbookViewId="0">
      <pane ySplit="2" topLeftCell="D22" activePane="bottomLeft" state="frozen"/>
      <selection pane="bottomLeft" activeCell="J2" sqref="J2"/>
    </sheetView>
  </sheetViews>
  <sheetFormatPr baseColWidth="8" defaultColWidth="8.85546875" defaultRowHeight="15" customHeight="1"/>
  <cols>
    <col width="8.85546875" customWidth="1" style="5" min="1" max="1"/>
    <col width="20.7109375" customWidth="1" style="73" min="2" max="2"/>
    <col width="34.5703125" customWidth="1" style="140" min="3" max="3"/>
    <col width="46.42578125" customWidth="1" style="140" min="4" max="4"/>
    <col width="35.7109375" customWidth="1" style="140" min="5" max="5"/>
    <col width="12.85546875" customWidth="1" style="5" min="6" max="6"/>
    <col width="21.7109375" customWidth="1" style="140" min="7" max="7"/>
    <col width="25.28515625" customWidth="1" style="140" min="8" max="10"/>
    <col width="19.85546875" customWidth="1" style="1" min="11" max="11"/>
    <col width="63.28515625" customWidth="1" style="2" min="12" max="12"/>
    <col width="8.85546875" customWidth="1" style="1" min="13" max="16384"/>
  </cols>
  <sheetData>
    <row r="1" ht="37.15" customHeight="1">
      <c r="A1" s="190" t="inlineStr">
        <is>
          <t>Application Security and API Security Review</t>
        </is>
      </c>
      <c r="B1" s="229" t="n"/>
      <c r="C1" s="229" t="n"/>
      <c r="D1" s="229" t="n"/>
      <c r="E1" s="229" t="n"/>
      <c r="F1" s="229" t="n"/>
      <c r="G1" s="229" t="n"/>
      <c r="H1" s="230" t="n"/>
      <c r="I1" s="101" t="n"/>
      <c r="J1" s="101" t="n"/>
      <c r="K1" s="87" t="n"/>
      <c r="L1" s="92" t="n"/>
    </row>
    <row r="2" ht="30" customFormat="1" customHeight="1" s="2">
      <c r="A2" s="88" t="inlineStr">
        <is>
          <t>Sr. No.</t>
        </is>
      </c>
      <c r="B2" s="89" t="inlineStr">
        <is>
          <t>Section Covered</t>
        </is>
      </c>
      <c r="C2" s="90" t="inlineStr">
        <is>
          <t>Key Observations</t>
        </is>
      </c>
      <c r="D2" s="90" t="inlineStr">
        <is>
          <t>Recommendations</t>
        </is>
      </c>
      <c r="E2" s="90" t="inlineStr">
        <is>
          <t>Evidence Required</t>
        </is>
      </c>
      <c r="F2" s="90" t="inlineStr">
        <is>
          <t>Status</t>
        </is>
      </c>
      <c r="G2" s="127" t="inlineStr">
        <is>
          <t>Assessor Comments (17-Aug-2026)</t>
        </is>
      </c>
      <c r="H2" s="143" t="inlineStr">
        <is>
          <t>Client Comments</t>
        </is>
      </c>
      <c r="I2" s="143" t="inlineStr">
        <is>
          <t>Client Comments</t>
        </is>
      </c>
      <c r="J2" s="143" t="inlineStr">
        <is>
          <t>Client Comments</t>
        </is>
      </c>
      <c r="K2" s="91" t="inlineStr">
        <is>
          <t>FIB Status</t>
        </is>
      </c>
      <c r="L2" s="93" t="inlineStr">
        <is>
          <t>Link</t>
        </is>
      </c>
    </row>
    <row r="3" ht="115.15" customHeight="1">
      <c r="A3" s="94" t="n">
        <v>1</v>
      </c>
      <c r="B3" s="95" t="inlineStr">
        <is>
          <t>Application Security Review</t>
        </is>
      </c>
      <c r="C3" s="96" t="inlineStr">
        <is>
          <t>During the review of the application access management controls, it could not be confirmed whether inactive user accounts are automatically disabled after a defined period of inactivity.</t>
        </is>
      </c>
      <c r="D3" s="96" t="inlineStr">
        <is>
          <t>Configure and enforce automatic disabling of inactive accounts and maintain documented account lifecycle management procedures.</t>
        </is>
      </c>
      <c r="E3" s="96" t="inlineStr">
        <is>
          <t>User Management Procedure, Account Disable Configuration, Sample Disabled Accounts, Access Review Records.</t>
        </is>
      </c>
      <c r="F3" s="97" t="inlineStr">
        <is>
          <t>Open</t>
        </is>
      </c>
      <c r="G3" s="96" t="inlineStr">
        <is>
          <t>Verify inactive account management in accordance with organizational access control requirements.</t>
        </is>
      </c>
      <c r="H3" s="231" t="n"/>
      <c r="I3" s="232" t="n"/>
      <c r="J3" s="233" t="n"/>
      <c r="K3" s="98" t="inlineStr">
        <is>
          <t>In progress</t>
        </is>
      </c>
      <c r="L3" s="80" t="inlineStr">
        <is>
          <t>https://fibtask.atlassian.net/browse/FIBXPI-1129</t>
        </is>
      </c>
    </row>
    <row r="4" ht="79.15000000000001" customHeight="1">
      <c r="A4" s="79" t="n">
        <v>2</v>
      </c>
      <c r="B4" s="75" t="inlineStr">
        <is>
          <t>Application Security Review</t>
        </is>
      </c>
      <c r="C4" s="189" t="inlineStr">
        <is>
          <t>During the review of session management controls, it was identified that the application idle timeout configuration has not yet been fully implemented.</t>
        </is>
      </c>
      <c r="D4" s="189" t="inlineStr">
        <is>
          <t>Configure and enforce automatic session termination after a defined period of inactivity.</t>
        </is>
      </c>
      <c r="E4" s="189" t="inlineStr">
        <is>
          <t>Session Timeout Configuration, Application Security Settings, Screenshots of Session Timeout Enforcement.</t>
        </is>
      </c>
      <c r="F4" s="74" t="inlineStr">
        <is>
          <t>Closed</t>
        </is>
      </c>
      <c r="G4" s="189" t="n"/>
      <c r="H4" s="234" t="inlineStr">
        <is>
          <t>https://ejabi-infosec.box.com/s/0da59lwt7tladtmvgfuki4n2hs5eo8ub</t>
        </is>
      </c>
      <c r="I4" s="235" t="n"/>
      <c r="J4" s="236" t="n"/>
      <c r="K4" s="46" t="inlineStr">
        <is>
          <t>Done</t>
        </is>
      </c>
      <c r="L4" s="80" t="inlineStr">
        <is>
          <t>https://fibtask.atlassian.net/browse/FIBXPI-1100</t>
        </is>
      </c>
    </row>
    <row r="5" ht="72" customHeight="1">
      <c r="A5" s="79" t="n">
        <v>3</v>
      </c>
      <c r="B5" s="75" t="inlineStr">
        <is>
          <t>Application Security Review</t>
        </is>
      </c>
      <c r="C5" s="189" t="inlineStr">
        <is>
          <t>During the review, the team was unable to confirm whether application logs are centrally forwarded to the SIEM platform and retained in accordance with logging requirements.</t>
        </is>
      </c>
      <c r="D5" s="189" t="inlineStr">
        <is>
          <t>Verify centralized log forwarding, retention settings, and monitoring of security events within the SIEM platform.</t>
        </is>
      </c>
      <c r="E5" s="189" t="inlineStr">
        <is>
          <t>SIEM Configuration, Log Forwarding Configuration, Sample Logs, Log Retention Policy.</t>
        </is>
      </c>
      <c r="F5" s="74" t="inlineStr">
        <is>
          <t>Open</t>
        </is>
      </c>
      <c r="G5" s="189" t="inlineStr">
        <is>
          <t>Centralized logging should be validated.</t>
        </is>
      </c>
      <c r="H5" s="193" t="inlineStr">
        <is>
          <t>https://ejabi-infosec.box.com/s/9mtfm72lu5pjiecckllv5g126l50z2x3</t>
        </is>
      </c>
      <c r="I5" s="235" t="n"/>
      <c r="J5" s="236" t="n"/>
      <c r="K5" s="46" t="inlineStr">
        <is>
          <t>Done</t>
        </is>
      </c>
      <c r="L5" s="80" t="inlineStr">
        <is>
          <t>https://fibtask.atlassian.net/browse/FIBXPI-1130</t>
        </is>
      </c>
    </row>
    <row r="6" ht="114.75" customHeight="1">
      <c r="A6" s="79" t="n">
        <v>4</v>
      </c>
      <c r="B6" s="188" t="inlineStr">
        <is>
          <t>Application Security Review</t>
        </is>
      </c>
      <c r="C6" s="193" t="inlineStr">
        <is>
          <t>The log forwarding process, monitoring responsibilities, and logging architecture were not formally documented.</t>
        </is>
      </c>
      <c r="D6" s="189" t="inlineStr">
        <is>
          <t>Document the complete logging architecture, log forwarding mechanisms, and assigned monitoring responsibilities.</t>
        </is>
      </c>
      <c r="E6" s="189" t="inlineStr">
        <is>
          <t>Logging Architecture Diagram, Logging Standard, Monitoring Procedures.</t>
        </is>
      </c>
      <c r="F6" s="74" t="inlineStr">
        <is>
          <t>Open</t>
        </is>
      </c>
      <c r="G6" s="128" t="inlineStr">
        <is>
          <t>The document covers operational monitoring through Grafana, Prometheus exporters, and Teleport; however, it does not demonstrate audit logging, security event generation, or log forwarding/SIEM integration. Therefore, additional evidence is required to demonstrate compliance with PCI DSS v4.0.1 Requirement 10.</t>
        </is>
      </c>
      <c r="H6" s="234" t="inlineStr">
        <is>
          <t>https://ejabi-infosec.box.com/s/l43eh15jehsgme1703ld5t40cvlhwb56</t>
        </is>
      </c>
      <c r="I6" s="235" t="n"/>
      <c r="J6" s="236" t="n"/>
      <c r="K6" s="55" t="inlineStr">
        <is>
          <t>In progress</t>
        </is>
      </c>
      <c r="L6" s="80" t="inlineStr">
        <is>
          <t>https://fibtask.atlassian.net/browse/FIBXPI-1131</t>
        </is>
      </c>
    </row>
    <row r="7" ht="57.6" customHeight="1">
      <c r="A7" s="79" t="n">
        <v>6</v>
      </c>
      <c r="B7" s="237" t="n"/>
      <c r="C7" s="237" t="n"/>
      <c r="D7" s="189" t="inlineStr">
        <is>
          <t>Establish a documented data retention and secure disposal policy.</t>
        </is>
      </c>
      <c r="E7" s="189" t="inlineStr">
        <is>
          <t>Data Retention Policy,  Data Disposal Procedure.</t>
        </is>
      </c>
      <c r="F7" s="74" t="inlineStr">
        <is>
          <t>Open</t>
        </is>
      </c>
      <c r="G7" s="189" t="inlineStr">
        <is>
          <t>Retention periods should be justified and formally approved.</t>
        </is>
      </c>
      <c r="H7" s="203" t="inlineStr">
        <is>
          <t>https://ejabi-infosec.box.com/s/yvlfhw79qq49imfc1tawei87adja13gv</t>
        </is>
      </c>
      <c r="I7" s="235" t="n"/>
      <c r="J7" s="236" t="n"/>
      <c r="K7" s="46" t="inlineStr">
        <is>
          <t>Done</t>
        </is>
      </c>
      <c r="L7" s="80" t="inlineStr">
        <is>
          <t>https://fibtask.atlassian.net/browse/FIBXPI-1132</t>
        </is>
      </c>
    </row>
    <row r="8" ht="72" customHeight="1">
      <c r="A8" s="79" t="n">
        <v>7</v>
      </c>
      <c r="B8" s="188" t="inlineStr">
        <is>
          <t>Application Security Review</t>
        </is>
      </c>
      <c r="C8" s="189" t="inlineStr">
        <is>
          <t>Card personalization activities are reportedly logged by the Card Team; however, evidence supporting the existence and review of audit trails was not available during the assessment.</t>
        </is>
      </c>
      <c r="D8" s="189" t="inlineStr">
        <is>
          <t>Verify that all card personalization activities are logged, retained, monitored, and periodically reviewed.</t>
        </is>
      </c>
      <c r="E8" s="189" t="inlineStr">
        <is>
          <t>Sample Audit Logs, Log Review Records.</t>
        </is>
      </c>
      <c r="F8" s="74" t="inlineStr">
        <is>
          <t>Open</t>
        </is>
      </c>
      <c r="G8" s="189" t="inlineStr">
        <is>
          <t>Audit trails for personalization activities require validation.</t>
        </is>
      </c>
      <c r="H8" s="234" t="inlineStr">
        <is>
          <t>https://ejabi-infosec.box.com/s/0dkw2pxpewzl1snmrq28oe0dsfb19je2</t>
        </is>
      </c>
      <c r="I8" s="235" t="n"/>
      <c r="J8" s="236" t="n"/>
      <c r="K8" s="46" t="inlineStr">
        <is>
          <t>Done</t>
        </is>
      </c>
      <c r="L8" s="80" t="inlineStr">
        <is>
          <t>https://fibtask.atlassian.net/browse/FIBXPI-1133</t>
        </is>
      </c>
    </row>
    <row r="9" ht="100.9" customHeight="1">
      <c r="A9" s="79" t="n">
        <v>8</v>
      </c>
      <c r="B9" s="238" t="n"/>
      <c r="C9" s="193" t="inlineStr">
        <is>
          <t>The failed or rejected card destruction process was described; however, supporting evidence and destruction records were not reviewed during the assessment.</t>
        </is>
      </c>
      <c r="D9" s="193" t="inlineStr">
        <is>
          <t>Review and maintain documented destruction procedures, approvals, and evidence for failed or rejected cards.</t>
        </is>
      </c>
      <c r="E9" s="189" t="inlineStr">
        <is>
          <t>Card Destruction Procedure, Destruction Logs, Approval Records, Sample Evidence.</t>
        </is>
      </c>
      <c r="F9" s="74" t="inlineStr">
        <is>
          <t>Open</t>
        </is>
      </c>
      <c r="G9" s="189" t="inlineStr">
        <is>
          <t>Destruction activities should be formally recorded and retained.</t>
        </is>
      </c>
      <c r="H9" s="203" t="inlineStr">
        <is>
          <t>https://ejabi-infosec.box.com/s/yvlfhw79qq49imfc1tawei87adja13gv</t>
        </is>
      </c>
      <c r="I9" s="203" t="inlineStr">
        <is>
          <t>https://ejabi-infosec.box.com/s/uwnbissva742a81t4aqcmw5994gwkizc</t>
        </is>
      </c>
      <c r="J9" s="203" t="inlineStr">
        <is>
          <t>https://ejabi-infosec.box.com/s/gbmw9jkm2lu9rxvdklsx6ammryk8f89n</t>
        </is>
      </c>
      <c r="K9" s="46" t="inlineStr">
        <is>
          <t>Done</t>
        </is>
      </c>
      <c r="L9" s="80" t="inlineStr">
        <is>
          <t>https://fibtask.atlassian.net/browse/FIBXPI-1134</t>
        </is>
      </c>
    </row>
    <row r="10" ht="72" customHeight="1">
      <c r="A10" s="79" t="n">
        <v>9</v>
      </c>
      <c r="B10" s="237" t="n"/>
      <c r="C10" s="237" t="n"/>
      <c r="D10" s="237" t="n"/>
      <c r="E10" s="102" t="inlineStr">
        <is>
          <t>Endpoint Hardening Standard, Device Configuration Screenshots, Exception Approval Records.</t>
        </is>
      </c>
      <c r="F10" s="74" t="inlineStr">
        <is>
          <t>Open</t>
        </is>
      </c>
      <c r="G10" s="189" t="inlineStr">
        <is>
          <t>Unnecessary interfaces should be disabled to minimize attack surface.</t>
        </is>
      </c>
      <c r="H10" s="234" t="inlineStr">
        <is>
          <t>https://ejabi-infosec.box.com/s/xd0a7kiw2j04yw55hahwz9n23k9hta1r</t>
        </is>
      </c>
      <c r="I10" s="235" t="n"/>
      <c r="J10" s="236" t="n"/>
      <c r="K10" s="46" t="inlineStr">
        <is>
          <t>Done</t>
        </is>
      </c>
      <c r="L10" s="80" t="inlineStr">
        <is>
          <t>https://fibtask.atlassian.net/browse/FIBXPI-1135</t>
        </is>
      </c>
    </row>
    <row r="11" ht="129.6" customHeight="1">
      <c r="A11" s="79" t="n">
        <v>10</v>
      </c>
      <c r="B11" s="188" t="inlineStr">
        <is>
          <t>Application Security Review</t>
        </is>
      </c>
      <c r="C11" s="189" t="inlineStr">
        <is>
          <t>Vendor PCI DSS compliance was verbally confirmed; however, supporting evidence was not available during the review.</t>
        </is>
      </c>
      <c r="D11" s="189" t="inlineStr">
        <is>
          <t>Obtain the current PCI DSS Attestation of Compliance (AOC) from the vendor.</t>
        </is>
      </c>
      <c r="E11" s="189" t="inlineStr">
        <is>
          <t>Vendor PCI DSS AOC, Vendor Compliance Records.</t>
        </is>
      </c>
      <c r="F11" s="74" t="inlineStr">
        <is>
          <t>Open</t>
        </is>
      </c>
      <c r="G11" s="189" t="inlineStr">
        <is>
          <t>Vendor compliance evidence should be retained and periodically reviewed.</t>
        </is>
      </c>
      <c r="H11" s="189" t="inlineStr">
        <is>
          <t>https://ejabi-infosec.box.com/s/ltxi14j4m3s7dcwfe8s8ci6bl8147f38</t>
        </is>
      </c>
      <c r="I11" s="235" t="n"/>
      <c r="J11" s="236" t="n"/>
      <c r="K11" s="46" t="inlineStr">
        <is>
          <t>Done</t>
        </is>
      </c>
      <c r="L11" s="80" t="inlineStr">
        <is>
          <t>https://fibtask.atlassian.net/browse/FIBXPI-1136</t>
        </is>
      </c>
    </row>
    <row r="12" ht="57.6" customHeight="1">
      <c r="A12" s="79" t="n">
        <v>11</v>
      </c>
      <c r="B12" s="237" t="n"/>
      <c r="C12" s="237" t="n"/>
      <c r="D12" s="237" t="n"/>
      <c r="E12" s="189" t="inlineStr">
        <is>
          <t>Incident Response Plan, Vendor SLA, Incident Handling Procedures.</t>
        </is>
      </c>
      <c r="F12" s="74" t="inlineStr">
        <is>
          <t>Open</t>
        </is>
      </c>
      <c r="G12" s="189" t="inlineStr">
        <is>
          <t>Third-party incident responsibilities should be clearly established.</t>
        </is>
      </c>
      <c r="H12" s="203" t="inlineStr">
        <is>
          <t>https://ejabi-infosec.box.com/s/kautxbs2f19r9h0uu2qwbozisxnizuz8</t>
        </is>
      </c>
      <c r="I12" s="235" t="n"/>
      <c r="J12" s="236" t="n"/>
      <c r="K12" s="46" t="inlineStr">
        <is>
          <t>Done</t>
        </is>
      </c>
      <c r="L12" s="80" t="inlineStr">
        <is>
          <t>https://fibtask.atlassian.net/browse/FIBXPI-1137</t>
        </is>
      </c>
    </row>
    <row r="13" ht="360" customHeight="1">
      <c r="A13" s="79" t="n">
        <v>12</v>
      </c>
      <c r="B13" s="75" t="inlineStr">
        <is>
          <t>API Security Review</t>
        </is>
      </c>
      <c r="C13" s="189" t="inlineStr">
        <is>
          <t>During the API security review, complete XPI API documentation was not available for review.</t>
        </is>
      </c>
      <c r="D13" s="189" t="inlineStr">
        <is>
          <t>Obtain complete API documentation including authentication flows, authorization models, encryption mechanisms, request/response specifications, error handling, and security controls.
Review and document the token generation algorithm, entropy, signing mechanism, key management, and token validation controls.</t>
        </is>
      </c>
      <c r="E13" s="189" t="inlineStr">
        <is>
          <t>API Design Documentation, Security Architecture Diagram, API Specifications, Vendor Documentation.</t>
        </is>
      </c>
      <c r="F13" s="74" t="inlineStr">
        <is>
          <t>Open</t>
        </is>
      </c>
      <c r="G13" s="189" t="inlineStr">
        <is>
          <t>API documentation should be reviewed prior to production deployment.</t>
        </is>
      </c>
      <c r="H13" s="194" t="inlineStr">
        <is>
          <t>https://ejabi-infosec.box.com/s/j635a8rveodmh1ujg9hcomm2bga922e7</t>
        </is>
      </c>
      <c r="I13" s="195" t="inlineStr">
        <is>
          <t>https://ejabi-infosec.box.com/s/v6tpb4z2r5hix9smt29frc3cs1zgwvr5</t>
        </is>
      </c>
      <c r="J13" s="196" t="inlineStr">
        <is>
          <t>https://ejabi-infosec.box.com/s/j635a8rveodmh1ujg9hcomm2bga922e7</t>
        </is>
      </c>
      <c r="K13" s="46" t="inlineStr">
        <is>
          <t>Done</t>
        </is>
      </c>
      <c r="L13" s="80" t="inlineStr">
        <is>
          <t>https://fibtask.atlassian.net/browse/FIBXPI-1138</t>
        </is>
      </c>
    </row>
    <row r="14" ht="201.6" customHeight="1">
      <c r="A14" s="79" t="n">
        <v>14</v>
      </c>
      <c r="B14" s="75" t="inlineStr">
        <is>
          <t>API Security Review</t>
        </is>
      </c>
      <c r="C14" s="189" t="inlineStr">
        <is>
          <t>HMAC authentication is implemented; however, the implementation details were not reviewed during the assessment.</t>
        </is>
      </c>
      <c r="D14" s="189" t="inlineStr">
        <is>
          <t>Verify hashing algorithms, key length, key rotation, timestamp validation, nonce implementation, replay protection, and secure key storage mechanisms.</t>
        </is>
      </c>
      <c r="E14" s="189" t="inlineStr">
        <is>
          <t>API Authentication Documentation, Cryptographic Standards, Key Rotation Procedure.</t>
        </is>
      </c>
      <c r="F14" s="74" t="inlineStr">
        <is>
          <t>Open</t>
        </is>
      </c>
      <c r="G14" s="189" t="inlineStr">
        <is>
          <t>HMAC implementation should be reviewed against security best practices.</t>
        </is>
      </c>
      <c r="H14" s="210" t="inlineStr">
        <is>
          <t>https://ejabi-infosec.box.com/s/j635a8rveodmh1ujg9hcomm2bga922e7</t>
        </is>
      </c>
      <c r="I14" s="211" t="inlineStr">
        <is>
          <t>https://ejabi-infosec.box.com/s/v6tpb4z2r5hix9smt29frc3cs1zgwvr5</t>
        </is>
      </c>
      <c r="J14" s="212" t="inlineStr">
        <is>
          <t>https://ejabi-infosec.box.com/s/j635a8rveodmh1ujg9hcomm2bga922e7</t>
        </is>
      </c>
      <c r="K14" s="46" t="inlineStr">
        <is>
          <t>Done</t>
        </is>
      </c>
      <c r="L14" s="80" t="inlineStr">
        <is>
          <t>https://fibtask.atlassian.net/browse/FIBXPI-1139</t>
        </is>
      </c>
    </row>
    <row r="15" ht="57.75" customHeight="1">
      <c r="A15" s="79" t="n">
        <v>15</v>
      </c>
      <c r="B15" s="75" t="inlineStr">
        <is>
          <t>API Security Review</t>
        </is>
      </c>
      <c r="C15" s="189" t="inlineStr">
        <is>
          <t>No evidence was available demonstrating API rate limiting, throttling, or denial-of-service protection mechanisms.</t>
        </is>
      </c>
      <c r="D15" s="189" t="inlineStr">
        <is>
          <t>Implement API throttling, request quotas, rate limiting, anomaly detection, and WAF-based protections to mitigate abuse and denial-of-service attacks.</t>
        </is>
      </c>
      <c r="E15" s="189" t="inlineStr">
        <is>
          <t>WAF Configuration, API Gateway Configuration, Rate Limiting Policies.</t>
        </is>
      </c>
      <c r="F15" s="74" t="inlineStr">
        <is>
          <t>Open</t>
        </is>
      </c>
      <c r="G15" s="189" t="inlineStr">
        <is>
          <t>API abuse protection mechanisms should be verified.</t>
        </is>
      </c>
      <c r="H15" s="189" t="n"/>
      <c r="I15" s="235" t="n"/>
      <c r="J15" s="236" t="n"/>
      <c r="K15" s="55" t="inlineStr">
        <is>
          <t>In progress</t>
        </is>
      </c>
      <c r="L15" s="80" t="inlineStr">
        <is>
          <t>https://fibtask.atlassian.net/browse/FIBXPI-1140</t>
        </is>
      </c>
    </row>
    <row r="16" ht="57.75" customHeight="1">
      <c r="A16" s="79" t="n">
        <v>16</v>
      </c>
      <c r="B16" s="75" t="inlineStr">
        <is>
          <t>API Security Review</t>
        </is>
      </c>
      <c r="C16" s="189" t="inlineStr">
        <is>
          <t>A complete inventory of production, development, deprecated, and internal APIs was not presented during the review.</t>
        </is>
      </c>
      <c r="D16" s="189" t="inlineStr">
        <is>
          <t>Maintain a formal API inventory identifying all APIs, versions, owners, environments, and associated security controls.</t>
        </is>
      </c>
      <c r="E16" s="189" t="inlineStr">
        <is>
          <t>API Inventory Register, Asset Inventory, API Management Documentation.</t>
        </is>
      </c>
      <c r="F16" s="74" t="inlineStr">
        <is>
          <t>Open</t>
        </is>
      </c>
      <c r="G16" s="189" t="inlineStr">
        <is>
          <t>API inventory should be maintained and periodically reviewed.</t>
        </is>
      </c>
      <c r="H16" s="189" t="n"/>
      <c r="I16" s="235" t="n"/>
      <c r="J16" s="236" t="n"/>
      <c r="K16" s="55" t="inlineStr">
        <is>
          <t>In progress</t>
        </is>
      </c>
      <c r="L16" s="80" t="inlineStr">
        <is>
          <t>https://fibtask.atlassian.net/browse/FIBXPI-1141</t>
        </is>
      </c>
    </row>
    <row r="17" ht="57.6" customHeight="1">
      <c r="A17" s="79" t="n">
        <v>17</v>
      </c>
      <c r="B17" s="75" t="inlineStr">
        <is>
          <t>API Security Review</t>
        </is>
      </c>
      <c r="C17" s="189" t="inlineStr">
        <is>
          <t>Evidence demonstrating API logging requirements and forwarding of security events to the SIEM platform was not available during the assessment.</t>
        </is>
      </c>
      <c r="D17" s="189" t="inlineStr">
        <is>
          <t>Ensure authentication attempts, failed requests, administrative actions, and security events are logged and forwarded to the centralized SIEM platform.</t>
        </is>
      </c>
      <c r="E17" s="189" t="inlineStr">
        <is>
          <t>API Logs, SIEM Configuration, Log Forwarding Configuration, Sample Security Events.</t>
        </is>
      </c>
      <c r="F17" s="74" t="inlineStr">
        <is>
          <t>Open</t>
        </is>
      </c>
      <c r="G17" s="189" t="inlineStr">
        <is>
          <t>API logging controls should be verified.</t>
        </is>
      </c>
      <c r="H17" s="189" t="n"/>
      <c r="I17" s="235" t="n"/>
      <c r="J17" s="236" t="n"/>
      <c r="K17" s="55" t="inlineStr">
        <is>
          <t>In progress</t>
        </is>
      </c>
      <c r="L17" s="80" t="inlineStr">
        <is>
          <t>https://fibtask.atlassian.net/browse/FIBXPI-1142</t>
        </is>
      </c>
    </row>
    <row r="18" ht="72.75" customHeight="1">
      <c r="A18" s="79" t="n">
        <v>18</v>
      </c>
      <c r="B18" s="75" t="inlineStr">
        <is>
          <t>API Security Review</t>
        </is>
      </c>
      <c r="C18" s="189" t="inlineStr">
        <is>
          <t>The merchant credential lifecycle management process, including onboarding, credential rotation, revocation, and offboarding, was not reviewed during the assessment.</t>
        </is>
      </c>
      <c r="D18" s="189" t="inlineStr">
        <is>
          <t>Review and document merchant onboarding, credential issuance, rotation, revocation, periodic review, and offboarding procedures.</t>
        </is>
      </c>
      <c r="E18" s="189" t="inlineStr">
        <is>
          <t>Merchant Onboarding Procedure, Credential Management Procedure, Sample Merchant Records.</t>
        </is>
      </c>
      <c r="F18" s="74" t="inlineStr">
        <is>
          <t>Open</t>
        </is>
      </c>
      <c r="G18" s="189" t="inlineStr">
        <is>
          <t>Merchant credential management controls should be formally documented and validated.</t>
        </is>
      </c>
      <c r="H18" s="189" t="n"/>
      <c r="I18" s="235" t="n"/>
      <c r="J18" s="236" t="n"/>
      <c r="K18" s="55" t="inlineStr">
        <is>
          <t>In progress</t>
        </is>
      </c>
      <c r="L18" s="80" t="inlineStr">
        <is>
          <t>https://fibtask.atlassian.net/browse/FIBXPI-1143</t>
        </is>
      </c>
    </row>
    <row r="19" ht="130.5" customHeight="1">
      <c r="A19" s="99" t="n">
        <v>19</v>
      </c>
      <c r="B19" s="78" t="inlineStr">
        <is>
          <t>API Authentication Procedure</t>
        </is>
      </c>
      <c r="C19" s="78" t="inlineStr">
        <is>
          <t>Documented procedure describing the authentication and authorization mechanisms used for application programming interfaces (APIs), including authentication methods, credential management, encryption, and access controls.</t>
        </is>
      </c>
      <c r="D19" s="78" t="n"/>
      <c r="E19" s="78" t="inlineStr">
        <is>
          <t>Switch / Access Control Team</t>
        </is>
      </c>
      <c r="F19" s="74" t="inlineStr">
        <is>
          <t>OPEN</t>
        </is>
      </c>
      <c r="G19" s="103" t="inlineStr">
        <is>
          <t>The document provided is for MFA authentication procedure. Kinldy provide the document about API Authentication procedure (especially for the new API).</t>
        </is>
      </c>
      <c r="H19" s="194" t="inlineStr">
        <is>
          <t>https://ejabi-infosec.box.com/s/j635a8rveodmh1ujg9hcomm2bga922e7</t>
        </is>
      </c>
      <c r="I19" s="195" t="inlineStr">
        <is>
          <t>https://ejabi-infosec.box.com/s/v6tpb4z2r5hix9smt29frc3cs1zgwvr5</t>
        </is>
      </c>
      <c r="J19" s="196" t="inlineStr">
        <is>
          <t>https://ejabi-infosec.box.com/s/j635a8rveodmh1ujg9hcomm2bga922e7</t>
        </is>
      </c>
      <c r="K19" s="47" t="inlineStr">
        <is>
          <t>Done</t>
        </is>
      </c>
      <c r="L19" s="239" t="inlineStr">
        <is>
          <t>https://fibtask.atlassian.net/browse/FIBXPI-1144</t>
        </is>
      </c>
    </row>
    <row r="20" ht="101.25" customHeight="1">
      <c r="A20" s="99" t="n">
        <v>20</v>
      </c>
      <c r="B20" s="78" t="inlineStr">
        <is>
          <t>API Architecture</t>
        </is>
      </c>
      <c r="C20" s="78" t="inlineStr">
        <is>
          <t>Architecture diagrams and supporting documentation illustrating API communication between Mobile application, the new Data Center, and associated systems, including authentication, security controls, and data flow.</t>
        </is>
      </c>
      <c r="D20" s="78" t="n"/>
      <c r="E20" s="78" t="inlineStr">
        <is>
          <t>Switch / Access Control Team</t>
        </is>
      </c>
      <c r="F20" s="74" t="inlineStr">
        <is>
          <t>OPEN</t>
        </is>
      </c>
      <c r="G20" s="77" t="n"/>
      <c r="H20" s="234" t="inlineStr">
        <is>
          <t>https://ejabi-infosec.box.com/s/ohhtmxc0qttxo2tztvy4wdbdj7oe8s9b</t>
        </is>
      </c>
      <c r="I20" s="235" t="n"/>
      <c r="J20" s="236" t="n"/>
      <c r="K20" s="47" t="inlineStr">
        <is>
          <t>Done</t>
        </is>
      </c>
      <c r="L20" s="239" t="inlineStr">
        <is>
          <t>https://fibtask.atlassian.net/browse/FIBXPI-1145</t>
        </is>
      </c>
    </row>
    <row r="21" ht="115.5" customHeight="1">
      <c r="A21" s="99" t="n">
        <v>21</v>
      </c>
      <c r="B21" s="78" t="inlineStr">
        <is>
          <t>Application Integration: TLS/Certificate Configuration</t>
        </is>
      </c>
      <c r="C21" s="78" t="inlineStr">
        <is>
          <t>Screenshots / Configuration exports from API Gateways, F5 showing TLS versions.
Screenshots or export details showing valid, non-expired digital certificates signed by a trusted internal or public Certificate Authority (CA).</t>
        </is>
      </c>
      <c r="D21" s="78" t="n"/>
      <c r="E21" s="78" t="inlineStr">
        <is>
          <t>Switch / Access Control Team</t>
        </is>
      </c>
      <c r="F21" s="74" t="inlineStr">
        <is>
          <t>OPEN</t>
        </is>
      </c>
      <c r="G21" s="136" t="inlineStr">
        <is>
          <t>I have updated the evidence list</t>
        </is>
      </c>
      <c r="H21" s="234" t="inlineStr">
        <is>
          <t>https://ejabi-infosec.box.com/s/abjom36p2v0d5259hybh4u09tecf5v62</t>
        </is>
      </c>
      <c r="I21" s="235" t="n"/>
      <c r="J21" s="236" t="n"/>
      <c r="K21" s="98" t="inlineStr">
        <is>
          <t>In progress</t>
        </is>
      </c>
      <c r="L21" s="81" t="inlineStr">
        <is>
          <t>https://fibtask.atlassian.net/browse/FIBXPI-1146</t>
        </is>
      </c>
    </row>
    <row r="22" ht="101.25" customHeight="1">
      <c r="A22" s="99" t="n">
        <v>22</v>
      </c>
      <c r="B22" s="78" t="inlineStr">
        <is>
          <t>Application Access: Application Architecture</t>
        </is>
      </c>
      <c r="C22" s="78" t="inlineStr">
        <is>
          <t>Architecture diagram illustrating the Mobile application deployment within the new Data Center, including application servers, databases, authentication services, firewalls, network zones, and communication paths.</t>
        </is>
      </c>
      <c r="D22" s="78" t="n"/>
      <c r="E22" s="78" t="inlineStr">
        <is>
          <t>Switch / Access Control Team</t>
        </is>
      </c>
      <c r="F22" s="74" t="inlineStr">
        <is>
          <t>OPEN</t>
        </is>
      </c>
      <c r="G22" s="77" t="n"/>
      <c r="H22" s="234" t="inlineStr">
        <is>
          <t>https://ejabi-infosec.box.com/s/v6tpb4z2r5hix9smt29frc3cs1zgwvr5</t>
        </is>
      </c>
      <c r="I22" s="235" t="n"/>
      <c r="J22" s="236" t="n"/>
      <c r="K22" s="46" t="inlineStr">
        <is>
          <t>Done</t>
        </is>
      </c>
      <c r="L22" s="81" t="inlineStr">
        <is>
          <t>https://fibtask.atlassian.net/browse/FIBXPI-1147</t>
        </is>
      </c>
    </row>
    <row r="23" ht="72" customHeight="1">
      <c r="A23" s="99" t="n">
        <v>23</v>
      </c>
      <c r="B23" s="78" t="inlineStr">
        <is>
          <t>Application Access: Role and Permission Matrix</t>
        </is>
      </c>
      <c r="C23" s="78" t="inlineStr">
        <is>
          <t>Role-based access control (RBAC) matrix defining application roles, associated permissions, user responsibilities, privileged functions, and mapping to business roles.</t>
        </is>
      </c>
      <c r="D23" s="78" t="n"/>
      <c r="E23" s="78" t="inlineStr">
        <is>
          <t>Switch / Access Control Team</t>
        </is>
      </c>
      <c r="F23" s="74" t="inlineStr">
        <is>
          <t>OPEN</t>
        </is>
      </c>
      <c r="G23" s="77" t="n"/>
      <c r="H23" s="234" t="inlineStr">
        <is>
          <t>https://ejabi-infosec.box.com/s/iaez6nivjazwy572cpne2rafzycnnyqn</t>
        </is>
      </c>
      <c r="I23" s="235" t="n"/>
      <c r="J23" s="236" t="n"/>
      <c r="K23" s="47" t="inlineStr">
        <is>
          <t>Done</t>
        </is>
      </c>
      <c r="L23" s="81" t="inlineStr">
        <is>
          <t>https://fibtask.atlassian.net/browse/FIBXPI-1148</t>
        </is>
      </c>
    </row>
    <row r="24" ht="86.45" customHeight="1">
      <c r="A24" s="100" t="n">
        <v>24</v>
      </c>
      <c r="B24" s="82" t="inlineStr">
        <is>
          <t>VPN or Remote Access Configuration</t>
        </is>
      </c>
      <c r="C24" s="82" t="inlineStr">
        <is>
          <t>Configuration documentation demonstrating secure remote access controls, including VPN architecture, authentication methods, MFA enforcement, encryption settings, access restrictions, and logging.</t>
        </is>
      </c>
      <c r="D24" s="82" t="n"/>
      <c r="E24" s="82" t="inlineStr">
        <is>
          <t>Platform Team / Access Control Team</t>
        </is>
      </c>
      <c r="F24" s="83" t="inlineStr">
        <is>
          <t>Closed</t>
        </is>
      </c>
      <c r="G24" s="84" t="n"/>
      <c r="H24" s="240" t="inlineStr">
        <is>
          <t>https://ejabi-infosec.box.com/s/fe45jj828ql84f9t7chdw2kpucpyx07i</t>
        </is>
      </c>
      <c r="I24" s="241" t="n"/>
      <c r="J24" s="242" t="n"/>
      <c r="K24" s="85" t="inlineStr">
        <is>
          <t>Done</t>
        </is>
      </c>
      <c r="L24" s="86" t="inlineStr">
        <is>
          <t>https://fibtask.atlassian.net/browse/FIBXPI-1149</t>
        </is>
      </c>
    </row>
    <row r="25" ht="15" customHeight="1">
      <c r="B25" s="1" t="n"/>
      <c r="C25" s="1" t="n"/>
    </row>
    <row r="26" ht="15" customHeight="1">
      <c r="B26" s="1" t="n"/>
    </row>
    <row r="27"/>
    <row r="28"/>
    <row r="29"/>
    <row r="30"/>
    <row r="31"/>
    <row r="32"/>
    <row r="33"/>
    <row r="34"/>
    <row r="35"/>
    <row r="36"/>
    <row r="37"/>
    <row r="38" ht="14.45" customHeight="1">
      <c r="D38" s="1" t="n"/>
    </row>
    <row r="39" ht="14.45" customHeight="1">
      <c r="D39" s="1" t="n"/>
    </row>
    <row r="40" ht="14.45" customHeight="1">
      <c r="D40" s="1" t="n"/>
    </row>
  </sheetData>
  <autoFilter ref="A2:L24">
    <filterColumn colId="5" hiddenButton="0" showButton="1">
      <filters>
        <filter val="Open"/>
      </filters>
    </filterColumn>
    <filterColumn colId="10" hiddenButton="0" showButton="1">
      <filters>
        <filter val="Done"/>
      </filters>
    </filterColumn>
  </autoFilter>
  <mergeCells count="27">
    <mergeCell ref="B11:B12"/>
    <mergeCell ref="D11:D12"/>
    <mergeCell ref="A1:H1"/>
    <mergeCell ref="H17:J17"/>
    <mergeCell ref="H11:J11"/>
    <mergeCell ref="H7:J7"/>
    <mergeCell ref="H16:J16"/>
    <mergeCell ref="C9:C10"/>
    <mergeCell ref="H22:J22"/>
    <mergeCell ref="H12:J12"/>
    <mergeCell ref="C11:C12"/>
    <mergeCell ref="H3:J3"/>
    <mergeCell ref="B6:B7"/>
    <mergeCell ref="H15:J15"/>
    <mergeCell ref="H24:J24"/>
    <mergeCell ref="D9:D10"/>
    <mergeCell ref="H18:J18"/>
    <mergeCell ref="H5:J5"/>
    <mergeCell ref="H23:J23"/>
    <mergeCell ref="H8:J8"/>
    <mergeCell ref="B8:B10"/>
    <mergeCell ref="H20:J20"/>
    <mergeCell ref="H10:J10"/>
    <mergeCell ref="H4:J4"/>
    <mergeCell ref="C6:C7"/>
    <mergeCell ref="H21:J21"/>
    <mergeCell ref="H6:J6"/>
  </mergeCells>
  <conditionalFormatting sqref="F1:F18 F25:F1048576">
    <cfRule type="cellIs" priority="18" operator="between" dxfId="0">
      <formula>$F$3</formula>
      <formula>$F$14</formula>
    </cfRule>
  </conditionalFormatting>
  <conditionalFormatting sqref="F1:F1048576">
    <cfRule type="containsText" priority="1" operator="containsText" dxfId="5" text="Open">
      <formula>NOT(ISERROR(SEARCH("Open",F1)))</formula>
    </cfRule>
    <cfRule type="containsText" priority="2" operator="containsText" dxfId="0" text="Closed">
      <formula>NOT(ISERROR(SEARCH("Closed",F1)))</formula>
    </cfRule>
    <cfRule type="containsText" priority="3" operator="containsText" dxfId="3" text="Partial">
      <formula>NOT(ISERROR(SEARCH("Partial",F1)))</formula>
    </cfRule>
    <cfRule type="containsText" priority="4" operator="containsText" dxfId="2" text="Closed">
      <formula>NOT(ISERROR(SEARCH("Closed",F1)))</formula>
    </cfRule>
    <cfRule type="containsText" priority="5" operator="containsText" dxfId="0" text="Open">
      <formula>NOT(ISERROR(SEARCH("Open",F1)))</formula>
    </cfRule>
  </conditionalFormatting>
  <conditionalFormatting sqref="F19:F24">
    <cfRule type="cellIs" priority="6" operator="between" dxfId="0">
      <formula>$H$4</formula>
      <formula>$H$15</formula>
    </cfRule>
  </conditionalFormatting>
  <hyperlinks>
    <hyperlink xmlns:r="http://schemas.openxmlformats.org/officeDocument/2006/relationships" ref="L3" r:id="rId1"/>
    <hyperlink xmlns:r="http://schemas.openxmlformats.org/officeDocument/2006/relationships" ref="H4" r:id="rId2"/>
    <hyperlink xmlns:r="http://schemas.openxmlformats.org/officeDocument/2006/relationships" ref="L4" r:id="rId3"/>
    <hyperlink xmlns:r="http://schemas.openxmlformats.org/officeDocument/2006/relationships" ref="L5" r:id="rId4"/>
    <hyperlink xmlns:r="http://schemas.openxmlformats.org/officeDocument/2006/relationships" ref="H6" r:id="rId5"/>
    <hyperlink xmlns:r="http://schemas.openxmlformats.org/officeDocument/2006/relationships" ref="L6" r:id="rId6"/>
    <hyperlink xmlns:r="http://schemas.openxmlformats.org/officeDocument/2006/relationships" ref="L7" r:id="rId7"/>
    <hyperlink xmlns:r="http://schemas.openxmlformats.org/officeDocument/2006/relationships" ref="H8" r:id="rId8"/>
    <hyperlink xmlns:r="http://schemas.openxmlformats.org/officeDocument/2006/relationships" ref="L8" r:id="rId9"/>
    <hyperlink xmlns:r="http://schemas.openxmlformats.org/officeDocument/2006/relationships" ref="H9" r:id="rId10"/>
    <hyperlink xmlns:r="http://schemas.openxmlformats.org/officeDocument/2006/relationships" ref="I9" r:id="rId11"/>
    <hyperlink xmlns:r="http://schemas.openxmlformats.org/officeDocument/2006/relationships" ref="J9" r:id="rId12"/>
    <hyperlink xmlns:r="http://schemas.openxmlformats.org/officeDocument/2006/relationships" ref="L9" r:id="rId13"/>
    <hyperlink xmlns:r="http://schemas.openxmlformats.org/officeDocument/2006/relationships" ref="H10" r:id="rId14"/>
    <hyperlink xmlns:r="http://schemas.openxmlformats.org/officeDocument/2006/relationships" ref="L10" r:id="rId15"/>
    <hyperlink xmlns:r="http://schemas.openxmlformats.org/officeDocument/2006/relationships" ref="L11" r:id="rId16"/>
    <hyperlink xmlns:r="http://schemas.openxmlformats.org/officeDocument/2006/relationships" ref="H12" display="https://ejabi-infosec.box.com/s/kautxbs2f19r9h0uu2qwbozisxnizuz8" r:id="rId17"/>
    <hyperlink xmlns:r="http://schemas.openxmlformats.org/officeDocument/2006/relationships" ref="L12" r:id="rId18"/>
    <hyperlink xmlns:r="http://schemas.openxmlformats.org/officeDocument/2006/relationships" ref="H13" display="https://ejabi-infosec.box.com/s/j635a8rveodmh1ujg9hcomm2bga922e7" r:id="rId19"/>
    <hyperlink xmlns:r="http://schemas.openxmlformats.org/officeDocument/2006/relationships" ref="I13" r:id="rId20"/>
    <hyperlink xmlns:r="http://schemas.openxmlformats.org/officeDocument/2006/relationships" ref="J13" display="https://ejabi-infosec.box.com/s/j635a8rveodmh1ujg9hcomm2bga922e7" r:id="rId21"/>
    <hyperlink xmlns:r="http://schemas.openxmlformats.org/officeDocument/2006/relationships" ref="L13" r:id="rId22"/>
    <hyperlink xmlns:r="http://schemas.openxmlformats.org/officeDocument/2006/relationships" ref="H14" display="https://ejabi-infosec.box.com/s/j635a8rveodmh1ujg9hcomm2bga922e7" r:id="rId23"/>
    <hyperlink xmlns:r="http://schemas.openxmlformats.org/officeDocument/2006/relationships" ref="I14" r:id="rId24"/>
    <hyperlink xmlns:r="http://schemas.openxmlformats.org/officeDocument/2006/relationships" ref="J14" display="https://ejabi-infosec.box.com/s/j635a8rveodmh1ujg9hcomm2bga922e7" r:id="rId25"/>
    <hyperlink xmlns:r="http://schemas.openxmlformats.org/officeDocument/2006/relationships" ref="L14" r:id="rId26"/>
    <hyperlink xmlns:r="http://schemas.openxmlformats.org/officeDocument/2006/relationships" ref="L15" r:id="rId27"/>
    <hyperlink xmlns:r="http://schemas.openxmlformats.org/officeDocument/2006/relationships" ref="L16" r:id="rId28"/>
    <hyperlink xmlns:r="http://schemas.openxmlformats.org/officeDocument/2006/relationships" ref="L17" r:id="rId29"/>
    <hyperlink xmlns:r="http://schemas.openxmlformats.org/officeDocument/2006/relationships" ref="L18" r:id="rId30"/>
    <hyperlink xmlns:r="http://schemas.openxmlformats.org/officeDocument/2006/relationships" ref="H19" display="https://ejabi-infosec.box.com/s/j635a8rveodmh1ujg9hcomm2bga922e7" r:id="rId31"/>
    <hyperlink xmlns:r="http://schemas.openxmlformats.org/officeDocument/2006/relationships" ref="I19" r:id="rId32"/>
    <hyperlink xmlns:r="http://schemas.openxmlformats.org/officeDocument/2006/relationships" ref="J19" display="https://ejabi-infosec.box.com/s/j635a8rveodmh1ujg9hcomm2bga922e7" r:id="rId33"/>
    <hyperlink xmlns:r="http://schemas.openxmlformats.org/officeDocument/2006/relationships" ref="L19" r:id="rId34"/>
    <hyperlink xmlns:r="http://schemas.openxmlformats.org/officeDocument/2006/relationships" ref="H20" display="https://ejabi-infosec.box.com/s/ohhtmxc0qttxo2tztvy4wdbdj7oe8s9b" r:id="rId35"/>
    <hyperlink xmlns:r="http://schemas.openxmlformats.org/officeDocument/2006/relationships" ref="L20" r:id="rId36"/>
    <hyperlink xmlns:r="http://schemas.openxmlformats.org/officeDocument/2006/relationships" ref="H21" r:id="rId37"/>
    <hyperlink xmlns:r="http://schemas.openxmlformats.org/officeDocument/2006/relationships" ref="L21" r:id="rId38"/>
    <hyperlink xmlns:r="http://schemas.openxmlformats.org/officeDocument/2006/relationships" ref="L22" r:id="rId39"/>
    <hyperlink xmlns:r="http://schemas.openxmlformats.org/officeDocument/2006/relationships" ref="H23" r:id="rId40"/>
    <hyperlink xmlns:r="http://schemas.openxmlformats.org/officeDocument/2006/relationships" ref="L23" r:id="rId41"/>
    <hyperlink xmlns:r="http://schemas.openxmlformats.org/officeDocument/2006/relationships" ref="H24" r:id="rId42"/>
    <hyperlink xmlns:r="http://schemas.openxmlformats.org/officeDocument/2006/relationships" ref="L24" r:id="rId43"/>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J6"/>
  <sheetViews>
    <sheetView topLeftCell="B1" workbookViewId="0">
      <selection activeCell="A6" sqref="A6:C6"/>
    </sheetView>
  </sheetViews>
  <sheetFormatPr baseColWidth="8" defaultColWidth="8.85546875" defaultRowHeight="14.45"/>
  <cols>
    <col width="11.140625" customWidth="1" style="5" min="1" max="1"/>
    <col width="23.140625" customWidth="1" style="1" min="2" max="8"/>
    <col width="16.42578125" customWidth="1" style="2" min="9" max="9"/>
    <col width="44.42578125" customWidth="1" style="2" min="10" max="10"/>
    <col width="8.85546875" customWidth="1" style="1" min="11" max="16384"/>
  </cols>
  <sheetData>
    <row r="1" ht="34.9" customHeight="1">
      <c r="A1" s="213" t="inlineStr">
        <is>
          <t>Database Configuration Review Gaps &amp; Recommendations</t>
        </is>
      </c>
      <c r="B1" s="243" t="n"/>
      <c r="C1" s="243" t="n"/>
      <c r="D1" s="243" t="n"/>
      <c r="E1" s="243" t="n"/>
      <c r="F1" s="243" t="n"/>
      <c r="G1" s="243" t="n"/>
      <c r="H1" s="244" t="n"/>
      <c r="I1" s="47" t="n"/>
    </row>
    <row r="2" ht="35.45" customFormat="1" customHeight="1" s="2">
      <c r="A2" s="20" t="inlineStr">
        <is>
          <t>Sr. No.</t>
        </is>
      </c>
      <c r="B2" s="19" t="inlineStr">
        <is>
          <t>Section Covered</t>
        </is>
      </c>
      <c r="C2" s="19" t="inlineStr">
        <is>
          <t>Key Observations</t>
        </is>
      </c>
      <c r="D2" s="19" t="inlineStr">
        <is>
          <t xml:space="preserve"> Recommendations</t>
        </is>
      </c>
      <c r="E2" s="19" t="inlineStr">
        <is>
          <t>Evidence Required</t>
        </is>
      </c>
      <c r="F2" s="19" t="inlineStr">
        <is>
          <t>Status</t>
        </is>
      </c>
      <c r="G2" s="19" t="inlineStr">
        <is>
          <t>Assessor Comments</t>
        </is>
      </c>
      <c r="H2" s="26" t="inlineStr">
        <is>
          <t>Client Comments</t>
        </is>
      </c>
      <c r="I2" s="46" t="inlineStr">
        <is>
          <t>FIB Status</t>
        </is>
      </c>
      <c r="J2" s="2" t="inlineStr">
        <is>
          <t>Link</t>
        </is>
      </c>
    </row>
    <row r="3" ht="181.5" customHeight="1">
      <c r="A3" s="8" t="n">
        <v>1</v>
      </c>
      <c r="B3" s="7" t="inlineStr">
        <is>
          <t>Database Review</t>
        </is>
      </c>
      <c r="C3" s="7" t="inlineStr">
        <is>
          <t>The cardholder data (CHD) matrix needs to be updated to include all database tables containing cardholder data.</t>
        </is>
      </c>
      <c r="D3" s="7" t="inlineStr">
        <is>
          <t>Update and maintain the CHD inventory to include all databases, tables, and fields storing, processing, or transmitting CHD/SAD, and review it periodically.</t>
        </is>
      </c>
      <c r="E3" s="7" t="inlineStr">
        <is>
          <t>Updated Cardholder Data Inventory/Matrix,  database schema documentation, data classification records, change management records showing periodic review.</t>
        </is>
      </c>
      <c r="F3" s="6" t="inlineStr">
        <is>
          <t>OPEN</t>
        </is>
      </c>
      <c r="G3" s="137" t="inlineStr">
        <is>
          <t>The current CHD inventory is incomplete and does not identify all database objects containing cardholder data, which may result in inaccurate PCI DSS scope determination and inadequate protection of CHD.</t>
        </is>
      </c>
      <c r="H3" s="110" t="inlineStr">
        <is>
          <t>https://ejabi-infosec.box.com/s/sfa0xva9zui6rhy5ypd0fzcij31ys880</t>
        </is>
      </c>
      <c r="I3" s="47" t="inlineStr">
        <is>
          <t>Done</t>
        </is>
      </c>
      <c r="J3" s="176" t="inlineStr">
        <is>
          <t>https://fibtask.atlassian.net/browse/FIBXPI-1103</t>
        </is>
      </c>
    </row>
    <row r="4" ht="144.75" customHeight="1">
      <c r="A4" s="8" t="n">
        <v>2</v>
      </c>
      <c r="B4" s="7" t="inlineStr">
        <is>
          <t>Database Review</t>
        </is>
      </c>
      <c r="C4" s="7" t="inlineStr">
        <is>
          <t>There are two database tables containing PAN; one stores masked PAN while the other stores unmasked PAN.</t>
        </is>
      </c>
      <c r="D4" s="7" t="inlineStr">
        <is>
          <t>Validate the business need for storing unmasked PAN, render PAN unreadable where required, restrict access, and monitor all access to PAN.</t>
        </is>
      </c>
      <c r="E4" s="7" t="inlineStr">
        <is>
          <t>Database schema, sample data (sanitized), encryption/tokenization configuration, key management procedures, access control matrix, database audit logs, documented business justification for PAN storage.</t>
        </is>
      </c>
      <c r="F4" s="6" t="inlineStr">
        <is>
          <t>OPEN</t>
        </is>
      </c>
      <c r="G4" s="7" t="inlineStr">
        <is>
          <t>Unmasked PAN storage was identified. The organization should validate that storage is strictly required for business purposes and ensure PAN is rendered unreadable in accordance with PCI DSS v4.0.1 Requirements 3.5 and 3.6.</t>
        </is>
      </c>
      <c r="H4" s="27" t="inlineStr"/>
      <c r="I4" s="52" t="inlineStr">
        <is>
          <t>In progress</t>
        </is>
      </c>
      <c r="J4" s="176" t="inlineStr">
        <is>
          <t>https://fibtask.atlassian.net/browse/FIBXPI-1104</t>
        </is>
      </c>
    </row>
    <row r="5" ht="234" customHeight="1">
      <c r="A5" s="9" t="n">
        <v>3</v>
      </c>
      <c r="B5" s="10" t="inlineStr">
        <is>
          <t>Database Review</t>
        </is>
      </c>
      <c r="C5" s="10" t="inlineStr">
        <is>
          <t>A roles and responsibilities matrix is required for all users accessing the database. The default administrative account should only be used during emergency situations with compensating controls.</t>
        </is>
      </c>
      <c r="D5" s="10" t="inlineStr">
        <is>
          <t>Develop a database roles and responsibilities matrix, assign unique administrator accounts, and restrict default account usage to approved emergency situations only.</t>
        </is>
      </c>
      <c r="E5" s="10" t="inlineStr">
        <is>
          <t>Database user and privilege listings, RBAC documentation, Roles &amp; Responsibilities Matrix, PAM configuration, emergency access procedures, access approval records, database audit logs, periodic user access review reports.</t>
        </is>
      </c>
      <c r="F5" s="6" t="inlineStr">
        <is>
          <t>OPEN</t>
        </is>
      </c>
      <c r="G5" s="10" t="inlineStr">
        <is>
          <t>Database access governance requires improvement. Shared/default administrative accounts should not be used for normal operations, and individual accountability must be established for all privileged database activities in accordance with PCI DSS v4.0.1 Requirements 7 and 8.</t>
        </is>
      </c>
      <c r="H5" s="110" t="inlineStr">
        <is>
          <t>https://ejabi-infosec.box.com/s/ixcz3d4c4gjev20yrepimufon417hhlg</t>
        </is>
      </c>
      <c r="I5" s="47" t="inlineStr">
        <is>
          <t>Done</t>
        </is>
      </c>
      <c r="J5" s="176" t="inlineStr">
        <is>
          <t>https://fibtask.atlassian.net/browse/FIBXPI-1105</t>
        </is>
      </c>
    </row>
    <row r="6" ht="15" customHeight="1">
      <c r="I6" s="53" t="n"/>
      <c r="J6" s="54" t="n"/>
    </row>
  </sheetData>
  <mergeCells count="1">
    <mergeCell ref="A1:H1"/>
  </mergeCells>
  <conditionalFormatting sqref="F1:F5">
    <cfRule type="containsText" priority="1" operator="containsText" dxfId="5" text="Open">
      <formula>NOT(ISERROR(SEARCH("Open",F1)))</formula>
    </cfRule>
    <cfRule type="containsText" priority="2" operator="containsText" dxfId="0" text="Closed">
      <formula>NOT(ISERROR(SEARCH("Closed",F1)))</formula>
    </cfRule>
    <cfRule type="containsText" priority="3" operator="containsText" dxfId="3" text="Partial">
      <formula>NOT(ISERROR(SEARCH("Partial",F1)))</formula>
    </cfRule>
    <cfRule type="containsText" priority="4" operator="containsText" dxfId="2" text="Closed">
      <formula>NOT(ISERROR(SEARCH("Closed",F1)))</formula>
    </cfRule>
    <cfRule type="containsText" priority="5" operator="containsText" dxfId="0" text="Open">
      <formula>NOT(ISERROR(SEARCH("Open",F1)))</formula>
    </cfRule>
    <cfRule type="cellIs" priority="6" operator="between" dxfId="0">
      <formula>$F$3</formula>
      <formula>$F$14</formula>
    </cfRule>
  </conditionalFormatting>
  <hyperlinks>
    <hyperlink xmlns:r="http://schemas.openxmlformats.org/officeDocument/2006/relationships" ref="H3" r:id="rId1"/>
    <hyperlink xmlns:r="http://schemas.openxmlformats.org/officeDocument/2006/relationships" ref="J3" r:id="rId2"/>
    <hyperlink xmlns:r="http://schemas.openxmlformats.org/officeDocument/2006/relationships" ref="J4" r:id="rId3"/>
    <hyperlink xmlns:r="http://schemas.openxmlformats.org/officeDocument/2006/relationships" ref="H5" r:id="rId4"/>
    <hyperlink xmlns:r="http://schemas.openxmlformats.org/officeDocument/2006/relationships" ref="J5" r:id="rId5"/>
  </hyperlink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K7"/>
  <sheetViews>
    <sheetView workbookViewId="0">
      <selection activeCell="A8" sqref="A8:C8"/>
    </sheetView>
  </sheetViews>
  <sheetFormatPr baseColWidth="8" defaultColWidth="8.85546875" defaultRowHeight="14.45"/>
  <cols>
    <col width="10.7109375" customWidth="1" style="5" min="1" max="1"/>
    <col width="23.140625" customWidth="1" style="1" min="2" max="2"/>
    <col width="28.7109375" customWidth="1" style="1" min="3" max="3"/>
    <col width="30.42578125" customWidth="1" style="1" min="4" max="4"/>
    <col width="28.5703125" customWidth="1" style="1" min="5" max="5"/>
    <col width="23.140625" customWidth="1" style="1" min="6" max="6"/>
    <col width="27" customWidth="1" style="1" min="7" max="7"/>
    <col width="24.28515625" customWidth="1" style="1" min="8" max="8"/>
    <col width="23.140625" customWidth="1" style="1" min="9" max="9"/>
    <col width="27" customWidth="1" style="1" min="10" max="10"/>
    <col width="55.28515625" customWidth="1" style="1" min="11" max="11"/>
    <col width="8.85546875" customWidth="1" style="1" min="12" max="16384"/>
  </cols>
  <sheetData>
    <row r="1" ht="25.9" customHeight="1">
      <c r="A1" s="213" t="inlineStr">
        <is>
          <t>PAM Configuration Review Gaps &amp; Recommendations (Date: 20-Aug-2026)</t>
        </is>
      </c>
      <c r="B1" s="243" t="n"/>
      <c r="C1" s="243" t="n"/>
      <c r="D1" s="243" t="n"/>
      <c r="E1" s="243" t="n"/>
      <c r="F1" s="243" t="n"/>
      <c r="G1" s="243" t="n"/>
      <c r="H1" s="243" t="n"/>
      <c r="I1" s="244" t="n"/>
      <c r="J1" s="47" t="n"/>
      <c r="K1" s="2" t="n"/>
    </row>
    <row r="2" ht="31.15" customFormat="1" customHeight="1" s="2">
      <c r="A2" s="20" t="inlineStr">
        <is>
          <t>Sr. No.</t>
        </is>
      </c>
      <c r="B2" s="19" t="inlineStr">
        <is>
          <t>Section Covered</t>
        </is>
      </c>
      <c r="C2" s="19" t="inlineStr">
        <is>
          <t>Key Observations</t>
        </is>
      </c>
      <c r="D2" s="19" t="inlineStr">
        <is>
          <t>Recommendations</t>
        </is>
      </c>
      <c r="E2" s="19" t="inlineStr">
        <is>
          <t>Evidence Required</t>
        </is>
      </c>
      <c r="F2" s="19" t="inlineStr">
        <is>
          <t>Status</t>
        </is>
      </c>
      <c r="G2" s="19" t="inlineStr">
        <is>
          <t>Assessor Comments</t>
        </is>
      </c>
      <c r="H2" s="26" t="inlineStr">
        <is>
          <t>Additional Comments (05-Aug)</t>
        </is>
      </c>
      <c r="I2" s="21" t="inlineStr">
        <is>
          <t>Client Comments</t>
        </is>
      </c>
      <c r="J2" s="46" t="inlineStr">
        <is>
          <t>FIB Status</t>
        </is>
      </c>
      <c r="K2" s="2" t="inlineStr">
        <is>
          <t>Link</t>
        </is>
      </c>
    </row>
    <row r="3" ht="130.9" customHeight="1">
      <c r="A3" s="8" t="n">
        <v>1</v>
      </c>
      <c r="B3" s="7" t="inlineStr">
        <is>
          <t>PAM Solution Review</t>
        </is>
      </c>
      <c r="C3" s="7" t="inlineStr">
        <is>
          <t>All privileged resources (e.g., databases and firewalls) have not been onboarded to the Teleport PAM solution. If not onboarded, the current access process has not been documented.</t>
        </is>
      </c>
      <c r="D3" s="7" t="inlineStr">
        <is>
          <t>Onboard all privileged systems to the PAM solution and enforce privileged access through PAM. Document the current access process where onboarding is not yet feasible.</t>
        </is>
      </c>
      <c r="E3" s="7" t="inlineStr">
        <is>
          <t>PAM asset inventory, onboarding records, architecture diagram, access workflow documentation, PAM policies.</t>
        </is>
      </c>
      <c r="F3" s="51" t="inlineStr">
        <is>
          <t>OPEN</t>
        </is>
      </c>
      <c r="G3" s="7" t="inlineStr">
        <is>
          <t xml:space="preserve">Could not see the comment. It is the same response as of before.
Privileged access is not consistently managed through the PAM solution, resulting in reduced visibility, accountability, and centralized control over privileged activities.
</t>
        </is>
      </c>
      <c r="H3" s="67" t="inlineStr">
        <is>
          <t>Cmment added to the Box portal</t>
        </is>
      </c>
      <c r="I3" s="48" t="inlineStr">
        <is>
          <t>https://ejabi-infosec.box.com/s/tykh7ziegfq063z0c126lyeu994t0btg</t>
        </is>
      </c>
      <c r="J3" s="47" t="inlineStr">
        <is>
          <t>Done</t>
        </is>
      </c>
      <c r="K3" s="176" t="inlineStr">
        <is>
          <t>https://fibtask.atlassian.net/browse/FIBXPI-1106</t>
        </is>
      </c>
    </row>
    <row r="4" ht="136.15" customHeight="1">
      <c r="A4" s="8" t="n">
        <v>2</v>
      </c>
      <c r="B4" s="7" t="inlineStr">
        <is>
          <t>PAM Solution Review</t>
        </is>
      </c>
      <c r="C4" s="7" t="inlineStr">
        <is>
          <t>No documented patch management process exists for the PAM solution, and the deployed version (17.x) is approaching end of support in August 2026.</t>
        </is>
      </c>
      <c r="D4" s="7" t="inlineStr">
        <is>
          <t>Establish a patch management process and upgrade the PAM solution to a vendor-supported version before end of support.</t>
        </is>
      </c>
      <c r="E4" s="7" t="inlineStr">
        <is>
          <t>Patch Management Policy, vulnerability assessment reports, change requests, upgrade plan, vendor support lifecycle documentation, patch deployment records, maintenance schedule.</t>
        </is>
      </c>
      <c r="F4" s="6" t="inlineStr">
        <is>
          <t>OPEN</t>
        </is>
      </c>
      <c r="G4" s="7" t="inlineStr">
        <is>
          <t>The current PAM version is nearing end of vendor support. Failure to maintain supported software versions may expose the environment to unpatched security vulnerabilities.</t>
        </is>
      </c>
      <c r="H4" s="27" t="n"/>
      <c r="I4" s="22" t="inlineStr"/>
      <c r="J4" s="52" t="inlineStr">
        <is>
          <t>In progress</t>
        </is>
      </c>
      <c r="K4" s="176" t="inlineStr">
        <is>
          <t>https://fibtask.atlassian.net/browse/FIBXPI-1107</t>
        </is>
      </c>
    </row>
    <row r="5" ht="172.9" customHeight="1">
      <c r="A5" s="8" t="n">
        <v>3</v>
      </c>
      <c r="B5" s="7" t="inlineStr">
        <is>
          <t>PAM Solution Review</t>
        </is>
      </c>
      <c r="C5" s="7" t="inlineStr">
        <is>
          <t>Password policy configuration evidence was not provided, including password length, account lockout, password history, and password expiration settings.</t>
        </is>
      </c>
      <c r="D5" s="7" t="inlineStr">
        <is>
          <t>Configure and document the PAM password policy to meet PCI DSS requirements and provide evidence of the configured settings.</t>
        </is>
      </c>
      <c r="E5" s="7" t="inlineStr">
        <is>
          <t>PAM password policy screenshots, authentication policy configuration, account lockout settings, password history settings, password expiration configuration, security standards documentation.</t>
        </is>
      </c>
      <c r="F5" s="6" t="inlineStr">
        <is>
          <t>Closed</t>
        </is>
      </c>
      <c r="G5" s="7" t="inlineStr">
        <is>
          <t>Password policy compliance could not be verified due to insufficient evidence. Configuration settings should demonstrate compliance with PCI DSS authentication requirements.</t>
        </is>
      </c>
      <c r="H5" s="27" t="inlineStr">
        <is>
          <t>1. FIBXPI-924 updated session timeout config
2. FIBXPI-952 account lockout
3. FIBXPI-924 session timeout config
4. FIBXPI-923 evidence of password policy configuration</t>
        </is>
      </c>
      <c r="I5" s="48" t="inlineStr">
        <is>
          <t>https://ejabi-infosec.box.com/s/8m9y1ivxcssiilcho2s0yi5i1zryk36o</t>
        </is>
      </c>
      <c r="J5" s="47" t="inlineStr">
        <is>
          <t>Done</t>
        </is>
      </c>
      <c r="K5" s="176" t="inlineStr">
        <is>
          <t>https://fibtask.atlassian.net/browse/FIBXPI-1108</t>
        </is>
      </c>
    </row>
    <row r="6" ht="100.9" customHeight="1">
      <c r="A6" s="8" t="n">
        <v>4</v>
      </c>
      <c r="B6" s="7" t="inlineStr">
        <is>
          <t>PAM Solution Review</t>
        </is>
      </c>
      <c r="C6" s="7" t="inlineStr">
        <is>
          <t>Session timeout for privileged sessions is configured for approximately 15 hours, increasing the risk of unauthorized access through unattended sessions.</t>
        </is>
      </c>
      <c r="D6" s="7" t="inlineStr">
        <is>
          <t>Configure privileged sessions to automatically terminate after 15 minutes of inactivity and periodically verify the configuration.</t>
        </is>
      </c>
      <c r="E6" s="7" t="inlineStr">
        <is>
          <t>Session management policy, PAM session timeout configuration screenshots.</t>
        </is>
      </c>
      <c r="F6" s="19" t="inlineStr">
        <is>
          <t>Closed</t>
        </is>
      </c>
      <c r="G6" s="7" t="inlineStr">
        <is>
          <t>Excessive idle session duration increases the risk of unauthorized use of privileged sessions. Session timeout settings should align with PCI DSS requirements for inactive sessions.</t>
        </is>
      </c>
      <c r="H6" s="27" t="inlineStr">
        <is>
          <t>Document Name:
1. FIBXPI-924 updated session timeout config</t>
        </is>
      </c>
      <c r="I6" s="48" t="inlineStr">
        <is>
          <t>https://ejabi-infosec.box.com/s/0da59lwt7tladtmvgfuki4n2hs5eo8ub</t>
        </is>
      </c>
      <c r="J6" s="47" t="inlineStr">
        <is>
          <t>Done</t>
        </is>
      </c>
      <c r="K6" s="176" t="inlineStr">
        <is>
          <t>https://fibtask.atlassian.net/browse/FIBXPI-1100</t>
        </is>
      </c>
    </row>
    <row r="7" ht="130.5" customHeight="1">
      <c r="A7" s="9" t="n">
        <v>5</v>
      </c>
      <c r="B7" s="10" t="inlineStr">
        <is>
          <t>PAM Solution Review</t>
        </is>
      </c>
      <c r="C7" s="10" t="inlineStr">
        <is>
          <t>Privileged administrative access is not consistently enforced through the PAM solution.</t>
        </is>
      </c>
      <c r="D7" s="10" t="inlineStr">
        <is>
          <t>Enforce all privileged administrative access through the PAM solution, enable MFA, and monitor and log all privileged activities.</t>
        </is>
      </c>
      <c r="E7" s="10" t="inlineStr">
        <is>
          <t>PAM access policies, MFA configuration, privileged account inventory, session recordings, audit logs, privileged access review reports, administrative access procedures.</t>
        </is>
      </c>
      <c r="F7" s="12" t="inlineStr">
        <is>
          <t>Closed</t>
        </is>
      </c>
      <c r="G7" s="10" t="inlineStr">
        <is>
          <t>Direct privileged access bypasses centralized monitoring and accountability. All privileged administrative activities should be controlled, authenticated, authorized, and logged through the PAM solution.</t>
        </is>
      </c>
      <c r="H7" s="28" t="inlineStr">
        <is>
          <t>Document Name:
1. MFA_Configuration_Evidence_for_Operations_and_Admins
2. mfa_enrollment_and_authentication_logs_final</t>
        </is>
      </c>
      <c r="I7" s="49" t="inlineStr">
        <is>
          <t>https://ejabi-infosec.box.com/s/91d3glm3g6v42o0rvo1e07og5r7k7l6g</t>
        </is>
      </c>
      <c r="J7" s="47" t="inlineStr">
        <is>
          <t>Done</t>
        </is>
      </c>
      <c r="K7" s="176" t="inlineStr">
        <is>
          <t>https://fibtask.atlassian.net/browse/FIBXPI-1106</t>
        </is>
      </c>
    </row>
    <row r="8" ht="15" customHeight="1"/>
  </sheetData>
  <autoFilter ref="A2:K7">
    <filterColumn colId="5" hiddenButton="0" showButton="1">
      <filters>
        <filter val="OPEN"/>
      </filters>
    </filterColumn>
    <filterColumn colId="9" hiddenButton="0" showButton="1">
      <filters>
        <filter val="Done"/>
      </filters>
    </filterColumn>
  </autoFilter>
  <mergeCells count="1">
    <mergeCell ref="A1:I1"/>
  </mergeCells>
  <conditionalFormatting sqref="F1">
    <cfRule type="cellIs" priority="36" operator="between" dxfId="0">
      <formula>#REF!</formula>
      <formula>$F$13</formula>
    </cfRule>
  </conditionalFormatting>
  <conditionalFormatting sqref="F1:F7">
    <cfRule type="containsText" priority="1" operator="containsText" dxfId="5" text="Open">
      <formula>NOT(ISERROR(SEARCH("Open",F1)))</formula>
    </cfRule>
    <cfRule type="containsText" priority="2" operator="containsText" dxfId="0" text="Closed">
      <formula>NOT(ISERROR(SEARCH("Closed",F1)))</formula>
    </cfRule>
    <cfRule type="containsText" priority="3" operator="containsText" dxfId="3" text="Partial">
      <formula>NOT(ISERROR(SEARCH("Partial",F1)))</formula>
    </cfRule>
    <cfRule type="containsText" priority="4" operator="containsText" dxfId="2" text="Closed">
      <formula>NOT(ISERROR(SEARCH("Closed",F1)))</formula>
    </cfRule>
    <cfRule type="containsText" priority="5" operator="containsText" dxfId="0" text="Open">
      <formula>NOT(ISERROR(SEARCH("Open",F1)))</formula>
    </cfRule>
  </conditionalFormatting>
  <conditionalFormatting sqref="F2:F7">
    <cfRule type="cellIs" priority="6" operator="between" dxfId="0">
      <formula>$F$3</formula>
      <formula>$F$14</formula>
    </cfRule>
  </conditionalFormatting>
  <dataValidations count="1">
    <dataValidation sqref="F2" showDropDown="0" showInputMessage="1" showErrorMessage="1" allowBlank="1" type="list">
      <formula1>$D$37:$D$39</formula1>
    </dataValidation>
  </dataValidations>
  <hyperlinks>
    <hyperlink xmlns:r="http://schemas.openxmlformats.org/officeDocument/2006/relationships" ref="I3" r:id="rId1"/>
    <hyperlink xmlns:r="http://schemas.openxmlformats.org/officeDocument/2006/relationships" ref="K3" r:id="rId2"/>
    <hyperlink xmlns:r="http://schemas.openxmlformats.org/officeDocument/2006/relationships" ref="K4" r:id="rId3"/>
    <hyperlink xmlns:r="http://schemas.openxmlformats.org/officeDocument/2006/relationships" ref="I5" r:id="rId4"/>
    <hyperlink xmlns:r="http://schemas.openxmlformats.org/officeDocument/2006/relationships" ref="K5" r:id="rId5"/>
    <hyperlink xmlns:r="http://schemas.openxmlformats.org/officeDocument/2006/relationships" ref="I6" r:id="rId6"/>
    <hyperlink xmlns:r="http://schemas.openxmlformats.org/officeDocument/2006/relationships" ref="K6" r:id="rId7"/>
    <hyperlink xmlns:r="http://schemas.openxmlformats.org/officeDocument/2006/relationships" ref="I7" r:id="rId8"/>
    <hyperlink xmlns:r="http://schemas.openxmlformats.org/officeDocument/2006/relationships" ref="K7" r:id="rId9"/>
  </hyperlinks>
  <pageMargins left="0.7" right="0.7" top="0.75" bottom="0.75" header="0.3" footer="0.3"/>
  <pageSetup orientation="portrait"/>
</worksheet>
</file>

<file path=xl/worksheets/sheet7.xml><?xml version="1.0" encoding="utf-8"?>
<worksheet xmlns="http://schemas.openxmlformats.org/spreadsheetml/2006/main">
  <sheetPr filterMode="1">
    <outlinePr summaryBelow="1" summaryRight="1"/>
    <pageSetUpPr/>
  </sheetPr>
  <dimension ref="A1:J10"/>
  <sheetViews>
    <sheetView topLeftCell="G1" workbookViewId="0">
      <selection activeCell="J2" sqref="J2"/>
    </sheetView>
  </sheetViews>
  <sheetFormatPr baseColWidth="8" defaultColWidth="8.85546875" defaultRowHeight="15" customHeight="1"/>
  <cols>
    <col width="9.42578125" customWidth="1" style="5" min="1" max="1"/>
    <col width="23.140625" customWidth="1" style="1" min="2" max="3"/>
    <col width="32.42578125" customWidth="1" style="1" min="4" max="4"/>
    <col width="32.7109375" customWidth="1" style="1" min="5" max="5"/>
    <col width="23.140625" customWidth="1" style="1" min="6" max="6"/>
    <col width="38.28515625" customWidth="1" style="1" min="7" max="7"/>
    <col width="23.140625" customWidth="1" style="1" min="8" max="8"/>
    <col width="13.5703125" customWidth="1" style="1" min="9" max="9"/>
    <col width="17.5703125" customWidth="1" style="63" min="10" max="10"/>
    <col width="8.85546875" customWidth="1" style="1" min="11" max="16384"/>
  </cols>
  <sheetData>
    <row r="1" ht="30.6" customHeight="1" thickBot="1">
      <c r="A1" s="179" t="inlineStr">
        <is>
          <t>SIEM Configuration Review Gaps &amp; Recommendations</t>
        </is>
      </c>
      <c r="B1" s="222" t="n"/>
      <c r="C1" s="222" t="n"/>
      <c r="D1" s="222" t="n"/>
      <c r="E1" s="222" t="n"/>
      <c r="F1" s="222" t="n"/>
      <c r="G1" s="222" t="n"/>
      <c r="H1" s="223" t="n"/>
    </row>
    <row r="2" ht="15.75" customFormat="1" customHeight="1" s="2">
      <c r="A2" s="16" t="inlineStr">
        <is>
          <t>Sr. No.</t>
        </is>
      </c>
      <c r="B2" s="17" t="inlineStr">
        <is>
          <t>Section Covered</t>
        </is>
      </c>
      <c r="C2" s="17" t="inlineStr">
        <is>
          <t>Key Observations</t>
        </is>
      </c>
      <c r="D2" s="17" t="inlineStr">
        <is>
          <t>Recommendations</t>
        </is>
      </c>
      <c r="E2" s="17" t="inlineStr">
        <is>
          <t>Evidence Required</t>
        </is>
      </c>
      <c r="F2" s="17" t="inlineStr">
        <is>
          <t>Status</t>
        </is>
      </c>
      <c r="G2" s="17" t="inlineStr">
        <is>
          <t>Assessor Comments (05-Aug)</t>
        </is>
      </c>
      <c r="H2" s="18" t="inlineStr">
        <is>
          <t>Client Comments</t>
        </is>
      </c>
      <c r="I2" s="57" t="inlineStr">
        <is>
          <t>FIB Status</t>
        </is>
      </c>
      <c r="J2" s="162" t="inlineStr">
        <is>
          <t>Link</t>
        </is>
      </c>
    </row>
    <row r="3" ht="87" customHeight="1">
      <c r="A3" s="45" t="n">
        <v>1</v>
      </c>
      <c r="B3" s="40" t="inlineStr">
        <is>
          <t>SIEM Configuration Review</t>
        </is>
      </c>
      <c r="C3" s="14" t="inlineStr">
        <is>
          <t>The database and application are not onboarded to the Wazuh SIEM monitoring solution.</t>
        </is>
      </c>
      <c r="D3" s="14" t="inlineStr">
        <is>
          <t>Onboard all PCI DSS in-scope databases and applications to the Wazuh SIEM and enable centralized log collection, retention, and monitoring.</t>
        </is>
      </c>
      <c r="E3" s="14" t="inlineStr">
        <is>
          <t xml:space="preserve"> Wazuh agent configuration, log forwarding configuration, sample collected logs, log retention configuration, monitoring procedures.</t>
        </is>
      </c>
      <c r="F3" s="15" t="inlineStr">
        <is>
          <t>OPEN</t>
        </is>
      </c>
      <c r="G3" s="14" t="inlineStr">
        <is>
          <t>Critical PCI DSS system components are not forwarding security logs to the centralized SIEM platform, reducing visibility into security events and limiting the organization's ability to detect suspicious activities.</t>
        </is>
      </c>
      <c r="H3" s="50" t="inlineStr">
        <is>
          <t>https://ejabi-infosec.box.com/s/l7oc3gkpurzaa4xmozkfd4h1j8jbdydq</t>
        </is>
      </c>
      <c r="I3" s="47" t="inlineStr">
        <is>
          <t>Done</t>
        </is>
      </c>
      <c r="J3" s="156" t="inlineStr">
        <is>
          <t>https://fibtask.atlassian.net/browse/FIBXPI-1110</t>
        </is>
      </c>
    </row>
    <row r="4" ht="72" customHeight="1">
      <c r="A4" s="33" t="n">
        <v>2</v>
      </c>
      <c r="B4" s="41" t="inlineStr">
        <is>
          <t>SIEM Configuration Review</t>
        </is>
      </c>
      <c r="C4" s="7" t="inlineStr">
        <is>
          <t>Anti-malware events are not integrated with the SIEM solution.</t>
        </is>
      </c>
      <c r="D4" s="7" t="inlineStr">
        <is>
          <t>Integrate anti-malware solutions with the SIEM to centrally collect, monitor, and alert on malware-related events.</t>
        </is>
      </c>
      <c r="E4" s="7" t="inlineStr">
        <is>
          <t>SIEM integration configuration, anti-malware policy, log forwarding configuration, sample malware events, alert rules, dashboard screenshots, integration test results.</t>
        </is>
      </c>
      <c r="F4" s="6" t="inlineStr">
        <is>
          <t>OPEN</t>
        </is>
      </c>
      <c r="G4" s="7" t="inlineStr">
        <is>
          <t>Anti-malware security events are not centrally monitored, limiting the organization's ability to detect malware-related incidents and respond in a timely manner.</t>
        </is>
      </c>
      <c r="H4" s="22" t="n"/>
      <c r="I4" s="52" t="inlineStr">
        <is>
          <t>In progress</t>
        </is>
      </c>
      <c r="J4" s="156" t="inlineStr">
        <is>
          <t>https://fibtask.atlassian.net/browse/FIBXPI-1111</t>
        </is>
      </c>
    </row>
    <row r="5" ht="120" customHeight="1">
      <c r="A5" s="33" t="n">
        <v>3</v>
      </c>
      <c r="B5" s="41" t="inlineStr">
        <is>
          <t>SIEM Configuration Review</t>
        </is>
      </c>
      <c r="C5" s="7" t="inlineStr">
        <is>
          <t>Network Time Protocol (NTP) is not configured to synchronize system time.</t>
        </is>
      </c>
      <c r="D5" s="7" t="inlineStr">
        <is>
          <t>Configure all PCI DSS in-scope systems to synchronize with authorized NTP servers and periodically verify time synchronization.</t>
        </is>
      </c>
      <c r="E5" s="7" t="inlineStr">
        <is>
          <t>NTP configuration screenshots, time synchronization policy, system time settings, NTP server configuration, synchronization status reports, architecture diagram.</t>
        </is>
      </c>
      <c r="F5" s="6" t="inlineStr">
        <is>
          <t>OPEN</t>
        </is>
      </c>
      <c r="G5" s="68" t="inlineStr">
        <is>
          <t>Configure_NTP_for_Time_Synchronization - The Ips provided in the document does not match with the Asset inventory provided.
Kindly provide a clarification for this evidence point.</t>
        </is>
      </c>
      <c r="H5" s="48" t="inlineStr">
        <is>
          <t>https://ejabi-infosec.box.com/s/v0suz8jscgdklxz9g7gj0rlvw90zcoli</t>
        </is>
      </c>
      <c r="I5" s="47" t="inlineStr">
        <is>
          <t>Done</t>
        </is>
      </c>
      <c r="J5" s="156" t="inlineStr">
        <is>
          <t>https://fibtask.atlassian.net/browse/FIBXPI-1112</t>
        </is>
      </c>
    </row>
    <row r="6" ht="87" customHeight="1">
      <c r="A6" s="33" t="n">
        <v>4</v>
      </c>
      <c r="B6" s="41" t="inlineStr">
        <is>
          <t>SIEM Configuration Review</t>
        </is>
      </c>
      <c r="C6" s="7" t="inlineStr">
        <is>
          <t>Unique administrative accounts are not implemented, and the default administrator account is in use.</t>
        </is>
      </c>
      <c r="D6" s="7" t="inlineStr">
        <is>
          <t>Implement unique administrator accounts, disable default accounts where feasible, enforce MFA, and log all privileged administrative activities.</t>
        </is>
      </c>
      <c r="E6" s="7" t="inlineStr">
        <is>
          <t>SIEM user account list, RBAC configuration, MFA configuration, administrative access policy, privileged access review reports, audit logs, screenshots of administrative account configuration.</t>
        </is>
      </c>
      <c r="F6" s="6" t="inlineStr">
        <is>
          <t>OPEN</t>
        </is>
      </c>
      <c r="G6" s="123" t="inlineStr">
        <is>
          <t>The screenshot uploaded is from the Domain controller. I want the screenshot from the SIEM system showing the admin accounts are either disabled or removed.</t>
        </is>
      </c>
      <c r="H6" s="48" t="n"/>
      <c r="I6" s="52" t="inlineStr">
        <is>
          <t>In progress</t>
        </is>
      </c>
      <c r="J6" s="156" t="inlineStr">
        <is>
          <t>https://fibtask.atlassian.net/browse/FIBXPI-1113</t>
        </is>
      </c>
    </row>
    <row r="7" ht="129.6" customHeight="1">
      <c r="A7" s="33" t="n">
        <v>5</v>
      </c>
      <c r="B7" s="31" t="inlineStr">
        <is>
          <t>SIEM Configuration Review</t>
        </is>
      </c>
      <c r="C7" s="29" t="inlineStr">
        <is>
          <t>Email alert configuration for security events could not be demonstrated during the assessment.</t>
        </is>
      </c>
      <c r="D7" s="29" t="inlineStr">
        <is>
          <t>Configure email notifications (or equivalent alerting mechanisms) for critical security events such as authentication failures, privileged account activities, malware detection, configuration changes, service failures, and other high-risk events. Validate that alerts are delivered to the designated security personnel.</t>
        </is>
      </c>
      <c r="E7" s="29" t="inlineStr">
        <is>
          <t>Alert configuration screenshots, notification rules, sample alert emails, alert recipient list, alert testing evidence.</t>
        </is>
      </c>
      <c r="F7" s="6" t="inlineStr">
        <is>
          <t>OPEN</t>
        </is>
      </c>
      <c r="G7" s="29" t="inlineStr">
        <is>
          <t>The assessor could not verify that critical security events generate automated notifications for timely investigation and response.</t>
        </is>
      </c>
      <c r="H7" s="43" t="n"/>
      <c r="I7" s="52" t="inlineStr">
        <is>
          <t>In progress</t>
        </is>
      </c>
      <c r="J7" s="156" t="inlineStr">
        <is>
          <t>https://fibtask.atlassian.net/browse/FIBXPI-1114</t>
        </is>
      </c>
    </row>
    <row r="8" ht="129.6" customHeight="1">
      <c r="A8" s="33" t="n">
        <v>6</v>
      </c>
      <c r="B8" s="31" t="inlineStr">
        <is>
          <t>SIEM Configuration Review</t>
        </is>
      </c>
      <c r="C8" s="29" t="inlineStr">
        <is>
          <t>The SSL/TLS certificate protecting the SIEM web management interface could not be verified.</t>
        </is>
      </c>
      <c r="D8" s="29" t="inlineStr">
        <is>
          <t>Configure the SIEM web interface to use a valid certificate issued by a trusted internal or public Certificate Authority and ensure strong TLS protocols and cipher suites are enforced for administrative access.</t>
        </is>
      </c>
      <c r="E8" s="29" t="inlineStr">
        <is>
          <t>Screenshot of the certificate details, certificate chain, certificate validity information, TLS configuration, browser certificate information.</t>
        </is>
      </c>
      <c r="F8" s="6" t="inlineStr">
        <is>
          <t>OPEN</t>
        </is>
      </c>
      <c r="G8" s="124" t="inlineStr">
        <is>
          <t>The submitted evidence does not provide sufficient details to verify the SSL/TLS certificate configured for the SIEM web management interface. Kindly provide clear screenshots showing the certificate details, issuer/CA, validity period, certificate chain, and applicable TLS protocol and cipher-suite configuration for the SIEM management interface.</t>
        </is>
      </c>
      <c r="H8" s="72" t="inlineStr">
        <is>
          <t>https://ejabi-infosec.box.com/s/v12hbrczfaxaihj4stop9k32zwoswe2y</t>
        </is>
      </c>
      <c r="I8" s="52" t="inlineStr">
        <is>
          <t>In progress</t>
        </is>
      </c>
      <c r="J8" s="156" t="inlineStr">
        <is>
          <t>https://fibtask.atlassian.net/browse/FIBXPI-1115</t>
        </is>
      </c>
    </row>
    <row r="9" ht="129.6" customHeight="1">
      <c r="A9" s="33" t="n">
        <v>7</v>
      </c>
      <c r="B9" s="31" t="inlineStr">
        <is>
          <t>SIEM Configuration Review</t>
        </is>
      </c>
      <c r="C9" s="29" t="inlineStr">
        <is>
          <t>Reporting capabilities and scheduled security reports were not demonstrated during the assessment.</t>
        </is>
      </c>
      <c r="D9" s="29" t="inlineStr">
        <is>
          <t>Configure periodic security reports covering authentication events, administrative activities, critical system events, failed login attempts, malware detections, integrity monitoring events, and other PCI DSS-relevant security events. Ensure reports are reviewed by authorized personnel.</t>
        </is>
      </c>
      <c r="E9" s="29" t="inlineStr">
        <is>
          <t>Sample scheduled reports, reporting configuration, report distribution schedule, evidence of report review and approval.</t>
        </is>
      </c>
      <c r="F9" s="6" t="inlineStr">
        <is>
          <t>OPEN</t>
        </is>
      </c>
      <c r="G9" s="29" t="inlineStr">
        <is>
          <t>The assessor could not verify that security monitoring reports are generated, reviewed, and retained as part of the organization's security monitoring process.</t>
        </is>
      </c>
      <c r="H9" s="43" t="n"/>
      <c r="I9" s="52" t="inlineStr">
        <is>
          <t>In progress</t>
        </is>
      </c>
      <c r="J9" s="156" t="inlineStr">
        <is>
          <t>https://fibtask.atlassian.net/browse/FIBXPI-1116</t>
        </is>
      </c>
    </row>
    <row r="10" ht="115.15" customHeight="1">
      <c r="A10" s="34" t="n">
        <v>8</v>
      </c>
      <c r="B10" s="32" t="inlineStr">
        <is>
          <t>SIEM Configuration Review</t>
        </is>
      </c>
      <c r="C10" s="30" t="inlineStr">
        <is>
          <t>File Integrity Monitoring (FIM) configuration and associated event monitoring were not demonstrated during the assessment.</t>
        </is>
      </c>
      <c r="D10" s="30" t="inlineStr">
        <is>
          <t>Configure File Integrity Monitoring for all PCI DSS in-scope critical system files, configuration files, executables, scripts, and security policies. Ensure unauthorized modifications generate alerts and are investigated in accordance with PCI DSS Requirement 11.5.</t>
        </is>
      </c>
      <c r="E10" s="30" t="inlineStr">
        <is>
          <t>FIM policy configuration, monitored file list, sample FIM alerts, event logs, alert rules, investigation procedures, evidence of periodic review.</t>
        </is>
      </c>
      <c r="F10" s="12" t="inlineStr">
        <is>
          <t>OPEN</t>
        </is>
      </c>
      <c r="G10" s="30" t="inlineStr">
        <is>
          <t>The assessor could not verify that File Integrity Monitoring is configured to detect unauthorized modifications to critical system files and configurations within the PCI DSS environment.</t>
        </is>
      </c>
      <c r="H10" s="44" t="n"/>
      <c r="I10" s="52" t="inlineStr">
        <is>
          <t>In progress</t>
        </is>
      </c>
      <c r="J10" s="156" t="inlineStr">
        <is>
          <t>https://fibtask.atlassian.net/browse/FIBXPI-1117</t>
        </is>
      </c>
    </row>
  </sheetData>
  <autoFilter ref="A2:J10">
    <filterColumn colId="8" hiddenButton="0" showButton="1">
      <filters>
        <filter val="Done"/>
      </filters>
    </filterColumn>
  </autoFilter>
  <mergeCells count="1">
    <mergeCell ref="A1:H1"/>
  </mergeCells>
  <conditionalFormatting sqref="F1:F2">
    <cfRule type="cellIs" priority="36" operator="between" dxfId="0">
      <formula>#REF!</formula>
      <formula>$F$11</formula>
    </cfRule>
  </conditionalFormatting>
  <conditionalFormatting sqref="F1:F10">
    <cfRule type="containsText" priority="1" operator="containsText" dxfId="5" text="Open">
      <formula>NOT(ISERROR(SEARCH("Open",F1)))</formula>
    </cfRule>
    <cfRule type="containsText" priority="2" operator="containsText" dxfId="0" text="Closed">
      <formula>NOT(ISERROR(SEARCH("Closed",F1)))</formula>
    </cfRule>
    <cfRule type="containsText" priority="3" operator="containsText" dxfId="3" text="Partial">
      <formula>NOT(ISERROR(SEARCH("Partial",F1)))</formula>
    </cfRule>
    <cfRule type="containsText" priority="4" operator="containsText" dxfId="2" text="Closed">
      <formula>NOT(ISERROR(SEARCH("Closed",F1)))</formula>
    </cfRule>
    <cfRule type="containsText" priority="5" operator="containsText" dxfId="0" text="Open">
      <formula>NOT(ISERROR(SEARCH("Open",F1)))</formula>
    </cfRule>
  </conditionalFormatting>
  <conditionalFormatting sqref="F3:F10">
    <cfRule type="cellIs" priority="47" operator="between" dxfId="0">
      <formula>$F$3</formula>
      <formula>$F$12</formula>
    </cfRule>
  </conditionalFormatting>
  <dataValidations count="1">
    <dataValidation sqref="F2" showDropDown="0" showInputMessage="1" showErrorMessage="1" allowBlank="1" type="list">
      <formula1>$D$35:$D$37</formula1>
    </dataValidation>
  </dataValidations>
  <hyperlinks>
    <hyperlink xmlns:r="http://schemas.openxmlformats.org/officeDocument/2006/relationships" ref="H3" r:id="rId1"/>
    <hyperlink xmlns:r="http://schemas.openxmlformats.org/officeDocument/2006/relationships" ref="J3" r:id="rId2"/>
    <hyperlink xmlns:r="http://schemas.openxmlformats.org/officeDocument/2006/relationships" ref="J4" r:id="rId3"/>
    <hyperlink xmlns:r="http://schemas.openxmlformats.org/officeDocument/2006/relationships" ref="H5" r:id="rId4"/>
    <hyperlink xmlns:r="http://schemas.openxmlformats.org/officeDocument/2006/relationships" ref="J5" r:id="rId5"/>
    <hyperlink xmlns:r="http://schemas.openxmlformats.org/officeDocument/2006/relationships" ref="J6" r:id="rId6"/>
    <hyperlink xmlns:r="http://schemas.openxmlformats.org/officeDocument/2006/relationships" ref="J7" r:id="rId7"/>
    <hyperlink xmlns:r="http://schemas.openxmlformats.org/officeDocument/2006/relationships" ref="H8" r:id="rId8"/>
    <hyperlink xmlns:r="http://schemas.openxmlformats.org/officeDocument/2006/relationships" ref="J8" r:id="rId9"/>
    <hyperlink xmlns:r="http://schemas.openxmlformats.org/officeDocument/2006/relationships" ref="J9" r:id="rId10"/>
    <hyperlink xmlns:r="http://schemas.openxmlformats.org/officeDocument/2006/relationships" ref="J10" r:id="rId11"/>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4"/>
  <sheetViews>
    <sheetView topLeftCell="D1" workbookViewId="0">
      <selection activeCell="C11" sqref="C11"/>
    </sheetView>
  </sheetViews>
  <sheetFormatPr baseColWidth="8" defaultColWidth="8.85546875" defaultRowHeight="14.45"/>
  <cols>
    <col width="23.140625" customWidth="1" style="1" min="1" max="1"/>
    <col width="31.5703125" customWidth="1" style="1" min="2" max="2"/>
    <col width="23.140625" customWidth="1" style="1" min="3" max="3"/>
    <col width="26.28515625" customWidth="1" style="1" min="4" max="4"/>
    <col width="23.140625" customWidth="1" style="1" min="5" max="8"/>
    <col width="22.5703125" customWidth="1" style="1" min="9" max="9"/>
    <col width="36.7109375" customWidth="1" style="1" min="10" max="10"/>
    <col width="8.85546875" customWidth="1" style="1" min="11" max="16384"/>
  </cols>
  <sheetData>
    <row r="1" ht="18" customHeight="1">
      <c r="A1" s="213" t="inlineStr">
        <is>
          <t>Information Security Review (Date: 20-Aug-26)</t>
        </is>
      </c>
      <c r="B1" s="243" t="n"/>
      <c r="C1" s="243" t="n"/>
      <c r="D1" s="243" t="n"/>
      <c r="E1" s="243" t="n"/>
      <c r="F1" s="243" t="n"/>
      <c r="G1" s="243" t="n"/>
      <c r="H1" s="244" t="n"/>
      <c r="I1" s="104" t="n"/>
      <c r="J1" s="2" t="n"/>
    </row>
    <row r="2" ht="15.6" customFormat="1" customHeight="1" s="2">
      <c r="A2" s="117" t="inlineStr">
        <is>
          <t>Sr. No.</t>
        </is>
      </c>
      <c r="B2" s="118" t="inlineStr">
        <is>
          <t>Section Covered</t>
        </is>
      </c>
      <c r="C2" s="118" t="inlineStr">
        <is>
          <t>Key Observations</t>
        </is>
      </c>
      <c r="D2" s="118" t="inlineStr">
        <is>
          <t>Recommendations</t>
        </is>
      </c>
      <c r="E2" s="118" t="inlineStr">
        <is>
          <t>Evidence Required</t>
        </is>
      </c>
      <c r="F2" s="118" t="inlineStr">
        <is>
          <t>Status</t>
        </is>
      </c>
      <c r="G2" s="118" t="inlineStr">
        <is>
          <t>Assessor Comments</t>
        </is>
      </c>
      <c r="H2" s="119" t="inlineStr">
        <is>
          <t>Client Comments</t>
        </is>
      </c>
      <c r="I2" s="46" t="inlineStr">
        <is>
          <t>FIB Status</t>
        </is>
      </c>
      <c r="J2" s="2" t="inlineStr">
        <is>
          <t>Link</t>
        </is>
      </c>
    </row>
    <row r="3" ht="166.5" customHeight="1">
      <c r="A3" s="13" t="n">
        <v>1</v>
      </c>
      <c r="B3" s="105" t="inlineStr">
        <is>
          <t>Information Security Review</t>
        </is>
      </c>
      <c r="C3" s="178" t="inlineStr">
        <is>
          <t>Information Security Policies have not yet been documented.</t>
        </is>
      </c>
      <c r="D3" s="178" t="inlineStr">
        <is>
          <t>Develop, approve, and implement Information Security Policies covering all applicable PCI DSS v4.0.1 requirements. Review annually, obtain management approval, and communicate the policies to all relevant personnel.</t>
        </is>
      </c>
      <c r="E3" s="178" t="inlineStr">
        <is>
          <t>Information Security Policy
Information Security Governance Documents.</t>
        </is>
      </c>
      <c r="F3" s="15" t="inlineStr">
        <is>
          <t>OPEN</t>
        </is>
      </c>
      <c r="G3" s="125" t="inlineStr">
        <is>
          <t>The provided document is the roles and responsibilities document. To close this evidence point, kindly provide the latest information security policy.</t>
        </is>
      </c>
      <c r="H3" s="106" t="inlineStr">
        <is>
          <t>https://ejabi-infosec.box.com/s/62fg8ue81sz9b99vli7g4gm3rc0xzi6d</t>
        </is>
      </c>
      <c r="I3" s="47" t="inlineStr">
        <is>
          <t>Done</t>
        </is>
      </c>
      <c r="J3" s="156" t="inlineStr">
        <is>
          <t>https://fibtask.atlassian.net/browse/FIBXPI-1109</t>
        </is>
      </c>
    </row>
    <row r="4" ht="186" customHeight="1" thickBot="1">
      <c r="A4" s="9" t="n">
        <v>2</v>
      </c>
      <c r="B4" s="108" t="inlineStr">
        <is>
          <t>Information Security Review</t>
        </is>
      </c>
      <c r="C4" s="11" t="inlineStr">
        <is>
          <t>Roles and Responsibilities document has not been documented.</t>
        </is>
      </c>
      <c r="D4" s="11" t="inlineStr">
        <is>
          <t>Develop and maintain a Roles and Responsibilities Matrix defining ownership and accountability for PCI DSS and information security activities. Ensure responsibilities are approved, communicated, and reviewed periodically.</t>
        </is>
      </c>
      <c r="E4" s="11" t="inlineStr">
        <is>
          <t>Roles &amp; Responsibilities Matrix (RACI), Organization Chart, Job Descriptions, Security Governance Charter, Management Approval Records, Personnel Acknowledgement Records.</t>
        </is>
      </c>
      <c r="F4" s="12" t="inlineStr">
        <is>
          <t>CLOSED</t>
        </is>
      </c>
      <c r="G4" s="11" t="n"/>
      <c r="H4" s="109" t="inlineStr">
        <is>
          <t>https://ejabi-infosec.box.com/s/62fg8ue81sz9b99vli7g4gm3rc0xzi6d</t>
        </is>
      </c>
      <c r="I4" s="47" t="inlineStr">
        <is>
          <t>Done</t>
        </is>
      </c>
      <c r="J4" s="156" t="inlineStr">
        <is>
          <t>https://fibtask.atlassian.net/browse/FIBXPI-1109</t>
        </is>
      </c>
    </row>
    <row r="5" ht="15" customHeight="1"/>
  </sheetData>
  <mergeCells count="1">
    <mergeCell ref="A1:H1"/>
  </mergeCells>
  <conditionalFormatting sqref="F1:F4">
    <cfRule type="containsText" priority="13" operator="containsText" dxfId="5" text="Open">
      <formula>NOT(ISERROR(SEARCH("Open",F1)))</formula>
    </cfRule>
    <cfRule type="containsText" priority="14" operator="containsText" dxfId="0" text="Closed">
      <formula>NOT(ISERROR(SEARCH("Closed",F1)))</formula>
    </cfRule>
    <cfRule type="containsText" priority="15" operator="containsText" dxfId="3" text="Partial">
      <formula>NOT(ISERROR(SEARCH("Partial",F1)))</formula>
    </cfRule>
    <cfRule type="containsText" priority="16" operator="containsText" dxfId="2" text="Closed">
      <formula>NOT(ISERROR(SEARCH("Closed",F1)))</formula>
    </cfRule>
    <cfRule type="containsText" priority="17" operator="containsText" dxfId="0" text="Open">
      <formula>NOT(ISERROR(SEARCH("Open",F1)))</formula>
    </cfRule>
    <cfRule type="cellIs" priority="18" operator="between" dxfId="0">
      <formula>$F$3</formula>
      <formula>$F$13</formula>
    </cfRule>
  </conditionalFormatting>
  <dataValidations count="1">
    <dataValidation sqref="F2" showDropDown="0" showInputMessage="1" showErrorMessage="1" allowBlank="1" type="list">
      <formula1>$D$37:$D$39</formula1>
    </dataValidation>
  </dataValidations>
  <hyperlinks>
    <hyperlink xmlns:r="http://schemas.openxmlformats.org/officeDocument/2006/relationships" ref="H3" display="https://ejabi-infosec.box.com/s/62fg8ue81sz9b99vli7g4gm3rc0xzi6d" r:id="rId1"/>
    <hyperlink xmlns:r="http://schemas.openxmlformats.org/officeDocument/2006/relationships" ref="J3" r:id="rId2"/>
    <hyperlink xmlns:r="http://schemas.openxmlformats.org/officeDocument/2006/relationships" ref="H4" r:id="rId3"/>
    <hyperlink xmlns:r="http://schemas.openxmlformats.org/officeDocument/2006/relationships" ref="J4" r:id="rId4"/>
  </hyperlinks>
  <pageMargins left="0.7" right="0.7" top="0.75" bottom="0.75" header="0.3" footer="0.3"/>
</worksheet>
</file>

<file path=xl/worksheets/sheet9.xml><?xml version="1.0" encoding="utf-8"?>
<worksheet xmlns="http://schemas.openxmlformats.org/spreadsheetml/2006/main">
  <sheetPr>
    <outlinePr summaryBelow="1" summaryRight="1"/>
    <pageSetUpPr autoPageBreaks="0"/>
  </sheetPr>
  <dimension ref="A1:J14"/>
  <sheetViews>
    <sheetView topLeftCell="E1" zoomScale="80" zoomScaleNormal="80" zoomScaleSheetLayoutView="70" workbookViewId="0">
      <selection activeCell="H4" sqref="H4"/>
    </sheetView>
  </sheetViews>
  <sheetFormatPr baseColWidth="8" defaultColWidth="8.85546875" defaultRowHeight="15"/>
  <cols>
    <col width="24.7109375" customWidth="1" style="1" min="1" max="1"/>
    <col width="28.5703125" customWidth="1" style="1" min="2" max="3"/>
    <col width="35.28515625" customWidth="1" style="1" min="4" max="4"/>
    <col width="33.85546875" customWidth="1" style="1" min="5" max="5"/>
    <col width="28.5703125" customWidth="1" style="1" min="6" max="6"/>
    <col width="37" customWidth="1" style="1" min="7" max="7"/>
    <col width="28.5703125" customWidth="1" style="1" min="8" max="8"/>
    <col width="14.85546875" customWidth="1" style="58" min="9" max="9"/>
    <col width="49" customWidth="1" style="2" min="10" max="10"/>
    <col width="8.85546875" customWidth="1" style="1" min="11" max="16384"/>
  </cols>
  <sheetData>
    <row r="1" ht="18.75" customHeight="1">
      <c r="A1" s="245" t="inlineStr">
        <is>
          <t>Network Security Review - Switches</t>
        </is>
      </c>
      <c r="B1" s="243" t="n"/>
      <c r="C1" s="243" t="n"/>
      <c r="D1" s="243" t="n"/>
      <c r="E1" s="243" t="n"/>
      <c r="F1" s="243" t="n"/>
      <c r="G1" s="243" t="n"/>
      <c r="H1" s="246" t="n"/>
    </row>
    <row r="2" ht="22.9" customHeight="1" thickBot="1">
      <c r="A2" s="23" t="inlineStr">
        <is>
          <t>Sr. No.</t>
        </is>
      </c>
      <c r="B2" s="24" t="inlineStr">
        <is>
          <t>Section Covered</t>
        </is>
      </c>
      <c r="C2" s="24" t="inlineStr">
        <is>
          <t>Key Observations</t>
        </is>
      </c>
      <c r="D2" s="24" t="inlineStr">
        <is>
          <t>Recommendations</t>
        </is>
      </c>
      <c r="E2" s="24" t="inlineStr">
        <is>
          <t>Evidence Required</t>
        </is>
      </c>
      <c r="F2" s="24" t="inlineStr">
        <is>
          <t>Status</t>
        </is>
      </c>
      <c r="G2" s="24" t="inlineStr">
        <is>
          <t>Assessor Comments</t>
        </is>
      </c>
      <c r="H2" s="25" t="inlineStr">
        <is>
          <t>Client Comments</t>
        </is>
      </c>
      <c r="I2" s="46" t="inlineStr">
        <is>
          <t>FIB Status</t>
        </is>
      </c>
      <c r="J2" s="2" t="inlineStr">
        <is>
          <t>Link</t>
        </is>
      </c>
    </row>
    <row r="3" ht="72.75" customHeight="1">
      <c r="A3" s="13" t="n">
        <v>1</v>
      </c>
      <c r="B3" s="184" t="inlineStr">
        <is>
          <t>Core Switch (Network Security Team)</t>
        </is>
      </c>
      <c r="C3" s="178" t="inlineStr">
        <is>
          <t>Failed authentication attempt lockout: 5 failed authentication attempts within 60 seconds → 300-second ban</t>
        </is>
      </c>
      <c r="D3" s="178" t="inlineStr">
        <is>
          <t>Configure the lockout mechanism to lock the user ID after no more than 10 unsuccessful attempts and maintain the lockout for a minimum of 30 minutes, or until the user's identity is confirmed.</t>
        </is>
      </c>
      <c r="E3" s="178" t="inlineStr">
        <is>
          <t>Updated switch configuration showing the revised failed-login threshold and lockout duration; configuration verification after remediation.</t>
        </is>
      </c>
      <c r="F3" s="15" t="inlineStr">
        <is>
          <t>Open</t>
        </is>
      </c>
      <c r="G3" s="178" t="inlineStr">
        <is>
          <t>PCI DSS 8.3.4: The current 300-second (5-minute) lockout period does not meet the required minimum 30-minute lockout duration. (PCI Security Standards Council)</t>
        </is>
      </c>
      <c r="H3" s="106" t="inlineStr">
        <is>
          <t>https://ejabi-infosec.box.com/s/6ojwy7bpb2qph0nn6qv1xwmzg4kgbkz3</t>
        </is>
      </c>
      <c r="I3" s="135" t="inlineStr">
        <is>
          <t>Done</t>
        </is>
      </c>
      <c r="J3" s="59" t="inlineStr">
        <is>
          <t>https://fibtask.atlassian.net/browse/FIBXPI-1118</t>
        </is>
      </c>
    </row>
    <row r="4" ht="153" customHeight="1">
      <c r="A4" s="13" t="n">
        <v>2</v>
      </c>
      <c r="B4" s="184" t="inlineStr">
        <is>
          <t>Core Switch (Network Security Team)</t>
        </is>
      </c>
      <c r="C4" s="178" t="inlineStr">
        <is>
          <t>Shared administrative account / shared administrative credential. The walkthrough states that the administrative account is used by Luqman and Mohammed Serwan by sharing the password.</t>
        </is>
      </c>
      <c r="D4" s="178" t="inlineStr">
        <is>
          <t>Provide unique individual administrative accounts for each administrator and prohibit routine sharing of authentication credentials. If a shared/break-glass account is exceptionally required, implement appropriate controls such as privileged-access/password-vault management and individual accountability.</t>
        </is>
      </c>
      <c r="E4" s="178" t="inlineStr">
        <is>
          <t>Updated user/account configuration; list of administrative accounts and assigned privileges; evidence of individual accounts; PAM/password-vault evidence if a shared emergency account remains.</t>
        </is>
      </c>
      <c r="F4" s="15" t="inlineStr">
        <is>
          <t>Open</t>
        </is>
      </c>
      <c r="G4" s="178" t="inlineStr">
        <is>
          <t>PCI DSS 8.2.2: Administrative activities must be attributable to an individual user. The current password-sharing arrangement weakens individual accountability and auditability. PCI SSC confirms that shared credentials are only permitted in exceptional circumstances and must be appropriately controlled. (PCI Security Standards Council)</t>
        </is>
      </c>
      <c r="H4" s="106" t="n"/>
      <c r="I4" s="61" t="inlineStr">
        <is>
          <t>In progress</t>
        </is>
      </c>
      <c r="J4" s="59" t="inlineStr">
        <is>
          <t>https://fibtask.atlassian.net/browse/FIBXPI-1119</t>
        </is>
      </c>
    </row>
    <row r="5" ht="84" customHeight="1">
      <c r="A5" s="13" t="n">
        <v>3</v>
      </c>
      <c r="B5" s="184" t="inlineStr">
        <is>
          <t>Core Switch (Network Security Team)</t>
        </is>
      </c>
      <c r="C5" s="178" t="inlineStr">
        <is>
          <t>NTP / time synchronization is not implemented/operational. The walkthrough evidence does not demonstrate successful synchronization with an approved time source.</t>
        </is>
      </c>
      <c r="D5" s="178" t="inlineStr">
        <is>
          <t>Configure the switch to synchronize its system clock with an approved internal NTP/time source and ensure the synchronization is active and accurate.</t>
        </is>
      </c>
      <c r="E5" s="178" t="inlineStr">
        <is>
          <t>NTP configuration; show ntp status / equivalent command output demonstrating successful synchronization; approved NTP source; time/date verification.</t>
        </is>
      </c>
      <c r="F5" s="15" t="inlineStr">
        <is>
          <t>Open</t>
        </is>
      </c>
      <c r="G5" s="178" t="inlineStr">
        <is>
          <t>PCI DSS 10.6.1: System clocks must be synchronized and kept accurate. The evidence provided does not demonstrate operational time synchronization.</t>
        </is>
      </c>
      <c r="H5" s="106" t="inlineStr">
        <is>
          <t>https://ejabi-infosec.box.com/s/v6tpb4z2r5hix9smt29frc3cs1zgwvr5</t>
        </is>
      </c>
      <c r="I5" s="135" t="inlineStr">
        <is>
          <t>Done</t>
        </is>
      </c>
      <c r="J5" s="176" t="inlineStr">
        <is>
          <t>https://fibtask.atlassian.net/browse/FIBXPI-1120</t>
        </is>
      </c>
    </row>
    <row r="6" ht="115.5" customHeight="1">
      <c r="A6" s="13" t="n">
        <v>4</v>
      </c>
      <c r="B6" s="184" t="inlineStr">
        <is>
          <t>Core Switch (Network Security Team)</t>
        </is>
      </c>
      <c r="C6" s="178" t="inlineStr">
        <is>
          <t>Syslog / centralized logging is not conclusively demonstrated in the walkthrough.</t>
        </is>
      </c>
      <c r="D6" s="178" t="inlineStr">
        <is>
          <t>Configure the switch to forward required security and administrative events to the organization's centralized logging/SIEM solution, where applicable, and ensure logs are retained and protected in accordance with PCI DSS requirements.</t>
        </is>
      </c>
      <c r="E6" s="178" t="inlineStr">
        <is>
          <t>Running configuration showing logging/Syslog destination; SIEM/Syslog receipt evidence; sample switch logs; log-retention configuration; evidence of log review and protection.</t>
        </is>
      </c>
      <c r="F6" s="15" t="inlineStr">
        <is>
          <t>Open</t>
        </is>
      </c>
      <c r="G6" s="178" t="inlineStr">
        <is>
          <t>PCI DSS Requirements 10.2, 10.4 and 10.5: Audit logging, log review and protection of audit logs must be implemented for in-scope system components. The walkthrough does not sufficiently demonstrate centralized log collection and the associated operational controls.</t>
        </is>
      </c>
      <c r="H6" s="106" t="inlineStr">
        <is>
          <t>https://ejabi-infosec.box.com/s/gpb1ejg0xvhu5izyq3s4rmipgbsexu70</t>
        </is>
      </c>
      <c r="I6" s="135" t="inlineStr">
        <is>
          <t>Done</t>
        </is>
      </c>
      <c r="J6" s="176" t="inlineStr">
        <is>
          <t>https://fibtask.atlassian.net/browse/FIBXPI-1121</t>
        </is>
      </c>
    </row>
    <row r="7" ht="115.5" customHeight="1">
      <c r="A7" s="13" t="n">
        <v>5</v>
      </c>
      <c r="B7" s="184" t="inlineStr">
        <is>
          <t>Core Switch (Network Security Team)</t>
        </is>
      </c>
      <c r="C7" s="178" t="inlineStr">
        <is>
          <t>Unused-interface/port shutdown status was not conclusively demonstrated during the walkthrough.</t>
        </is>
      </c>
      <c r="D7" s="178" t="inlineStr">
        <is>
          <t>Identify all unused physical interfaces and disable/shut down interfaces that are not required. Maintain an approved port/interface inventory and ensure only required interfaces are enabled.</t>
        </is>
      </c>
      <c r="E7" s="178" t="inlineStr">
        <is>
          <t>Complete interface/port status output; list of active and unused ports; configuration showing unused ports administratively disabled; network/port inventory.</t>
        </is>
      </c>
      <c r="F7" s="15" t="inlineStr">
        <is>
          <t>Open</t>
        </is>
      </c>
      <c r="G7" s="178" t="inlineStr">
        <is>
          <t>PCI DSS 2.2.4: Only necessary services, protocols, daemons and functions should be enabled, with unnecessary functionality removed or disabled. The walkthrough does not provide sufficient evidence to confirm that unused switch interfaces are disabled. (PCI Security Standards Council)</t>
        </is>
      </c>
      <c r="H7" s="106" t="inlineStr">
        <is>
          <t>https://ejabi-infosec.box.com/s/doq2dz94r23gclasccmgjsgezkek8at4</t>
        </is>
      </c>
      <c r="I7" s="135" t="inlineStr">
        <is>
          <t>Done</t>
        </is>
      </c>
      <c r="J7" s="176" t="inlineStr">
        <is>
          <t>https://fibtask.atlassian.net/browse/FIBXPI-1122</t>
        </is>
      </c>
    </row>
    <row r="8" ht="72.75" customHeight="1">
      <c r="A8" s="13" t="n">
        <v>6</v>
      </c>
      <c r="B8" s="184" t="inlineStr">
        <is>
          <t>External Switch (Network Security Team)</t>
        </is>
      </c>
      <c r="C8" s="178" t="inlineStr">
        <is>
          <t>NTP / time synchronization is not implemented. The walkthrough explicitly identifies NTP as not enabled.</t>
        </is>
      </c>
      <c r="D8" s="178" t="inlineStr">
        <is>
          <t>Configure the switch to use an approved organizational NTP/time source and verify successful synchronization.</t>
        </is>
      </c>
      <c r="E8" s="178" t="inlineStr">
        <is>
          <t>NTP configuration; synchronization status/output; approved NTP server/source; evidence confirming accurate system time.</t>
        </is>
      </c>
      <c r="F8" s="15" t="inlineStr">
        <is>
          <t>Open</t>
        </is>
      </c>
      <c r="G8" s="178" t="inlineStr">
        <is>
          <t>PCI DSS 10.6.1: NTP/time synchronization is required to maintain accurate and consistent timestamps for security and audit events. NTP is currently not enabled on the external switch.</t>
        </is>
      </c>
      <c r="H8" s="106" t="inlineStr">
        <is>
          <t>https://ejabi-infosec.box.com/s/4ibefivickfomi8bnj65dfcky241wh46</t>
        </is>
      </c>
      <c r="I8" s="135" t="inlineStr">
        <is>
          <t>Done</t>
        </is>
      </c>
      <c r="J8" s="176" t="inlineStr">
        <is>
          <t>https://fibtask.atlassian.net/browse/FIBXPI-1123</t>
        </is>
      </c>
    </row>
    <row r="9" ht="72.75" customHeight="1">
      <c r="A9" s="13" t="n">
        <v>7</v>
      </c>
      <c r="B9" s="184" t="inlineStr">
        <is>
          <t>External Switch (Network Security Team)</t>
        </is>
      </c>
      <c r="C9" s="178" t="inlineStr">
        <is>
          <t>Syslog / centralized logging is not conclusively demonstrated in the walkthrough.</t>
        </is>
      </c>
      <c r="D9" s="178" t="inlineStr">
        <is>
          <t>Configure the switch to forward required security and administrative events to the approved centralized logging/SIEM solution and ensure logs are retained, reviewed and protected.</t>
        </is>
      </c>
      <c r="E9" s="178" t="inlineStr">
        <is>
          <t>Running configuration showing Syslog destination; SIEM/Syslog receipt evidence; sample logs; retention settings; evidence of log review and protection.</t>
        </is>
      </c>
      <c r="F9" s="15" t="inlineStr">
        <is>
          <t>Open</t>
        </is>
      </c>
      <c r="G9" s="178" t="inlineStr">
        <is>
          <t>PCI DSS Requirements 10.2, 10.4 and 10.5: Evidence should demonstrate that security events and administrative activities are logged, centrally collected where applicable, reviewed and protected.</t>
        </is>
      </c>
      <c r="H9" s="106" t="inlineStr">
        <is>
          <t>https://ejabi-infosec.box.com/s/hkjaxzzfmahfzlgby1vt4ns26073pr4m</t>
        </is>
      </c>
      <c r="I9" s="135" t="inlineStr">
        <is>
          <t>Done</t>
        </is>
      </c>
      <c r="J9" s="176" t="inlineStr">
        <is>
          <t>https://fibtask.atlassian.net/browse/FIBXPI-1124</t>
        </is>
      </c>
    </row>
    <row r="10" ht="101.25" customHeight="1">
      <c r="A10" s="13" t="n">
        <v>8</v>
      </c>
      <c r="B10" s="184" t="inlineStr">
        <is>
          <t>External Switch (Network Security Team)</t>
        </is>
      </c>
      <c r="C10" s="178" t="inlineStr">
        <is>
          <t>Unused-interface/port shutdown status was not conclusively demonstrated during the walkthrough.</t>
        </is>
      </c>
      <c r="D10" s="178" t="inlineStr">
        <is>
          <t>Identify all unused physical interfaces and disable/shut down interfaces that are not required. Maintain an approved port/interface inventory and ensure only required interfaces are enabled.</t>
        </is>
      </c>
      <c r="E10" s="178" t="inlineStr">
        <is>
          <t>Complete interface/port status output; list of active and unused ports; configuration showing unused ports administratively disabled; network/port inventory.</t>
        </is>
      </c>
      <c r="F10" s="15" t="inlineStr">
        <is>
          <t>Open</t>
        </is>
      </c>
      <c r="G10" s="178" t="inlineStr">
        <is>
          <t>PCI DSS 2.2.4: Evidence is required to demonstrate that unnecessary functionality/interfaces are disabled. The current walkthrough does not conclusively establish that unused switch ports are administratively shut down. (PCI Security Standards Council)</t>
        </is>
      </c>
      <c r="H10" s="106" t="n"/>
      <c r="I10" s="61" t="inlineStr">
        <is>
          <t>In progress</t>
        </is>
      </c>
      <c r="J10" s="176" t="inlineStr">
        <is>
          <t>https://fibtask.atlassian.net/browse/FIBXPI-1125</t>
        </is>
      </c>
    </row>
    <row r="11" ht="87" customHeight="1">
      <c r="A11" s="13" t="n">
        <v>9</v>
      </c>
      <c r="B11" s="184" t="inlineStr">
        <is>
          <t>SAN Switch (10.222.120.16 / 10.222.120.17)</t>
        </is>
      </c>
      <c r="C11" s="178" t="inlineStr">
        <is>
          <t>Shared use of default admin account across multiple administrators (luqman, mohd serwan).</t>
        </is>
      </c>
      <c r="D11" s="178" t="inlineStr">
        <is>
          <t>Disable or restrict the default admin account. Assign unique named administrative credentials to each operator and enforce split-knowledge/dual-control procedures where necessary.</t>
        </is>
      </c>
      <c r="E11" s="178" t="inlineStr">
        <is>
          <t>Updated running configuration showing disabled/restricted default admin user and proof of unique user accounts assigned to operators.</t>
        </is>
      </c>
      <c r="F11" s="15" t="inlineStr">
        <is>
          <t>Open</t>
        </is>
      </c>
      <c r="G11" s="178" t="inlineStr">
        <is>
          <t>PCI DSS 8.2.2 &amp; 2.2.2: Generic/shared default administrative account is actively used by multiple individuals, preventing individual accountability.</t>
        </is>
      </c>
      <c r="H11" s="106" t="n"/>
      <c r="I11" s="61" t="inlineStr">
        <is>
          <t>In progress</t>
        </is>
      </c>
      <c r="J11" s="176" t="inlineStr">
        <is>
          <t>https://fibtask.atlassian.net/browse/FIBXPI-1126</t>
        </is>
      </c>
    </row>
    <row r="12" ht="57.75" customHeight="1">
      <c r="A12" s="13" t="n">
        <v>10</v>
      </c>
      <c r="B12" s="184" t="inlineStr">
        <is>
          <t>SAN Switch (10.222.120.16)</t>
        </is>
      </c>
      <c r="C12" s="120" t="inlineStr">
        <is>
          <t xml:space="preserve"> NTP authentication keys/trusted keys are not enabled for 10.222.120.16</t>
        </is>
      </c>
      <c r="D12" s="178" t="inlineStr">
        <is>
          <t>Enable symmetric NTP authentication keys (ntp authenticate, ntp authentication-key) to secure time synchronization against spoofing.</t>
        </is>
      </c>
      <c r="E12" s="178" t="inlineStr">
        <is>
          <t>Updated NTP configuration snippet displaying enabled authentication key configurations and active peer synchronization status.</t>
        </is>
      </c>
      <c r="F12" s="15" t="inlineStr">
        <is>
          <t>Open</t>
        </is>
      </c>
      <c r="G12" s="178" t="inlineStr">
        <is>
          <t>PCI DSS 10.6.1: Network Time Protocol (NTP) updates are transmitted without cryptographic authentication.</t>
        </is>
      </c>
      <c r="H12" s="106" t="n"/>
      <c r="I12" s="61" t="inlineStr">
        <is>
          <t>In progress</t>
        </is>
      </c>
      <c r="J12" s="176" t="inlineStr">
        <is>
          <t>https://fibtask.atlassian.net/browse/FIBXPI-1127</t>
        </is>
      </c>
    </row>
    <row r="13" ht="57.75" customHeight="1">
      <c r="A13" s="13" t="n">
        <v>11</v>
      </c>
      <c r="B13" s="184" t="inlineStr">
        <is>
          <t>SAN Switch (10.222.120.16)</t>
        </is>
      </c>
      <c r="C13" s="178" t="inlineStr">
        <is>
          <t>line vty has exec-timeout 15, but explicit console line timeout (line console exec-timeout) is missing/undefined.</t>
        </is>
      </c>
      <c r="D13" s="178" t="inlineStr">
        <is>
          <t>Configure exec-timeout 15 0 explicitly under line console and all interactive line interfaces.</t>
        </is>
      </c>
      <c r="E13" s="178" t="inlineStr">
        <is>
          <t>Updated switch configuration confirming exec-timeout 15 configured across both VTY and console lines.</t>
        </is>
      </c>
      <c r="F13" s="15" t="inlineStr">
        <is>
          <t>Open</t>
        </is>
      </c>
      <c r="G13" s="178" t="inlineStr">
        <is>
          <t>PCI DSS 8.2.1 &amp; 8.6.1: Inactive local console sessions will not automatically disconnect after 15 minutes of inactivity.</t>
        </is>
      </c>
      <c r="H13" s="106" t="n"/>
      <c r="I13" s="61" t="inlineStr">
        <is>
          <t>In progress</t>
        </is>
      </c>
      <c r="J13" s="176" t="inlineStr">
        <is>
          <t>https://fibtask.atlassian.net/browse/FIBXPI-1128</t>
        </is>
      </c>
    </row>
    <row r="14">
      <c r="B14" s="138" t="n"/>
    </row>
  </sheetData>
  <mergeCells count="1">
    <mergeCell ref="A1:H1"/>
  </mergeCells>
  <conditionalFormatting sqref="F1:F13">
    <cfRule type="containsText" priority="1" operator="containsText" dxfId="5" text="Open">
      <formula>NOT(ISERROR(SEARCH("Open",F1)))</formula>
    </cfRule>
    <cfRule type="containsText" priority="2" operator="containsText" dxfId="0" text="Closed">
      <formula>NOT(ISERROR(SEARCH("Closed",F1)))</formula>
    </cfRule>
    <cfRule type="containsText" priority="3" operator="containsText" dxfId="3" text="Partial">
      <formula>NOT(ISERROR(SEARCH("Partial",F1)))</formula>
    </cfRule>
    <cfRule type="containsText" priority="4" operator="containsText" dxfId="2" text="Closed">
      <formula>NOT(ISERROR(SEARCH("Closed",F1)))</formula>
    </cfRule>
    <cfRule type="containsText" priority="5" operator="containsText" dxfId="0" text="Open">
      <formula>NOT(ISERROR(SEARCH("Open",F1)))</formula>
    </cfRule>
    <cfRule type="cellIs" priority="66" operator="between" dxfId="0">
      <formula>$F$3</formula>
      <formula>#REF!</formula>
    </cfRule>
  </conditionalFormatting>
  <dataValidations count="1">
    <dataValidation sqref="F2" showDropDown="0" showInputMessage="1" showErrorMessage="1" allowBlank="1" type="list">
      <formula1>$D$37:$D$39</formula1>
    </dataValidation>
  </dataValidations>
  <hyperlinks>
    <hyperlink xmlns:r="http://schemas.openxmlformats.org/officeDocument/2006/relationships" ref="G3" tooltip="Payment Card Industry" display="https://www.pcisecuritystandards.org/documents/PCI-DSS-v4-0-SAQ-C.pdf?utm_source=chatgpt.com" r:id="rId1"/>
    <hyperlink xmlns:r="http://schemas.openxmlformats.org/officeDocument/2006/relationships" ref="H3" r:id="rId2"/>
    <hyperlink xmlns:r="http://schemas.openxmlformats.org/officeDocument/2006/relationships" ref="J3" r:id="rId3"/>
    <hyperlink xmlns:r="http://schemas.openxmlformats.org/officeDocument/2006/relationships" ref="G4" tooltip="Does PCI DSS Requirement 8.2.2 allow users to share authentication credentials? - PCI Security Standards Council" display="https://www.pcisecuritystandards.org/faqs/does-pci-dss-requirement-8-2-2-allow-users-to-share-authentication-credentials/?utm_source=chatgpt.com" r:id="rId4"/>
    <hyperlink xmlns:r="http://schemas.openxmlformats.org/officeDocument/2006/relationships" ref="J4" r:id="rId5"/>
    <hyperlink xmlns:r="http://schemas.openxmlformats.org/officeDocument/2006/relationships" ref="J5" r:id="rId6"/>
    <hyperlink xmlns:r="http://schemas.openxmlformats.org/officeDocument/2006/relationships" ref="J6" r:id="rId7"/>
    <hyperlink xmlns:r="http://schemas.openxmlformats.org/officeDocument/2006/relationships" ref="G7" tooltip="Payment Card Industry" display="https://listings.pcisecuritystandards.org/documents/PCI-DSS-v4-0-SAQ-C.pdf?utm_source=chatgpt.com" r:id="rId8"/>
    <hyperlink xmlns:r="http://schemas.openxmlformats.org/officeDocument/2006/relationships" ref="H7" r:id="rId9"/>
    <hyperlink xmlns:r="http://schemas.openxmlformats.org/officeDocument/2006/relationships" ref="J7" r:id="rId10"/>
    <hyperlink xmlns:r="http://schemas.openxmlformats.org/officeDocument/2006/relationships" ref="H8" r:id="rId11"/>
    <hyperlink xmlns:r="http://schemas.openxmlformats.org/officeDocument/2006/relationships" ref="J8" r:id="rId12"/>
    <hyperlink xmlns:r="http://schemas.openxmlformats.org/officeDocument/2006/relationships" ref="H9" r:id="rId13"/>
    <hyperlink xmlns:r="http://schemas.openxmlformats.org/officeDocument/2006/relationships" ref="J9" r:id="rId14"/>
    <hyperlink xmlns:r="http://schemas.openxmlformats.org/officeDocument/2006/relationships" ref="G10" tooltip="Payment Card Industry" display="https://listings.pcisecuritystandards.org/documents/PCI-DSS-v4-0-SAQ-C.pdf?utm_source=chatgpt.com" r:id="rId15"/>
    <hyperlink xmlns:r="http://schemas.openxmlformats.org/officeDocument/2006/relationships" ref="J10" r:id="rId16"/>
  </hyperlinks>
  <pageMargins left="0.7" right="0.7" top="0.75" bottom="0.75" header="0.3" footer="0.3"/>
  <pageSetup orientation="portrait"/>
</worksheet>
</file>

<file path=xl/worksheets/sheet10.xml><?xml version="1.0" encoding="utf-8"?>
<worksheet xmlns="http://schemas.openxmlformats.org/spreadsheetml/2006/main">
  <sheetPr>
    <tabColor rgb="FF00B0F0"/>
    <outlinePr summaryBelow="1" summaryRight="1"/>
    <pageSetUpPr/>
  </sheetPr>
  <dimension ref="A1:G14"/>
  <sheetViews>
    <sheetView workbookViewId="0">
      <selection activeCell="F16" sqref="F16"/>
    </sheetView>
  </sheetViews>
  <sheetFormatPr baseColWidth="8" defaultRowHeight="14.45"/>
  <cols>
    <col width="28.42578125" customWidth="1" min="1" max="1"/>
    <col width="11.85546875" bestFit="1" customWidth="1" min="5" max="5"/>
    <col width="20.7109375" bestFit="1" customWidth="1" min="7" max="7"/>
  </cols>
  <sheetData>
    <row r="1">
      <c r="A1" s="111" t="inlineStr">
        <is>
          <t>Open vs Done Task Summary</t>
        </is>
      </c>
      <c r="G1" s="116" t="inlineStr">
        <is>
          <t>Criteria (do not delete)</t>
        </is>
      </c>
    </row>
    <row r="2">
      <c r="A2" t="inlineStr">
        <is>
          <t>Counts are live formulas based on the Status column (F) of each review sheet.</t>
        </is>
      </c>
      <c r="G2" s="116" t="inlineStr">
        <is>
          <t>*Open*</t>
        </is>
      </c>
    </row>
    <row r="3">
      <c r="A3" s="113" t="inlineStr">
        <is>
          <t>Review Sheet</t>
        </is>
      </c>
      <c r="B3" s="113" t="inlineStr">
        <is>
          <t>Open</t>
        </is>
      </c>
      <c r="C3" s="131" t="inlineStr">
        <is>
          <t>Closed</t>
        </is>
      </c>
      <c r="D3" s="132" t="inlineStr">
        <is>
          <t>Total</t>
        </is>
      </c>
      <c r="E3" s="131" t="inlineStr">
        <is>
          <t>% Complete</t>
        </is>
      </c>
      <c r="G3" s="116" t="inlineStr">
        <is>
          <t>*Closed*</t>
        </is>
      </c>
    </row>
    <row r="4">
      <c r="A4" t="inlineStr">
        <is>
          <t>Firewall Review</t>
        </is>
      </c>
      <c r="B4">
        <f>COUNTIF('Firewall Review'!F:F,$G$2)</f>
        <v/>
      </c>
      <c r="C4">
        <f>COUNTIF('Firewall Review'!F:F,$G$3)</f>
        <v/>
      </c>
      <c r="D4">
        <f>B4+C4</f>
        <v/>
      </c>
      <c r="E4" s="112">
        <f>IFERROR(C4/D4,0)</f>
        <v/>
      </c>
    </row>
    <row r="5">
      <c r="A5" t="inlineStr">
        <is>
          <t>System Configuration</t>
        </is>
      </c>
      <c r="B5">
        <f>COUNTIF('System Configuration'!F:F,$G$2)</f>
        <v/>
      </c>
      <c r="C5">
        <f>COUNTIF('System Configuration'!F:F,$G$3)</f>
        <v/>
      </c>
      <c r="D5">
        <f>B5+C5</f>
        <v/>
      </c>
      <c r="E5" s="112">
        <f>IFERROR(C5/D5,0)</f>
        <v/>
      </c>
    </row>
    <row r="6">
      <c r="A6" t="inlineStr">
        <is>
          <t>HR &amp; Access Control</t>
        </is>
      </c>
      <c r="B6">
        <f>COUNTIF('HR &amp; Access Control '!F:F,$G$2)</f>
        <v/>
      </c>
      <c r="C6">
        <f>COUNTIF('HR &amp; Access Control '!F:F,$G$3)</f>
        <v/>
      </c>
      <c r="D6">
        <f>B6+C6</f>
        <v/>
      </c>
      <c r="E6" s="112">
        <f>IFERROR(C6/D6,0)</f>
        <v/>
      </c>
    </row>
    <row r="7">
      <c r="A7" t="inlineStr">
        <is>
          <t>Application &amp; API Security</t>
        </is>
      </c>
      <c r="B7">
        <f>COUNTIF('Application &amp; API Security'!F:F,$G$2)</f>
        <v/>
      </c>
      <c r="C7">
        <f>COUNTIF('Application &amp; API Security'!F:F,$G$3)</f>
        <v/>
      </c>
      <c r="D7">
        <f>B7+C7</f>
        <v/>
      </c>
      <c r="E7" s="112">
        <f>IFERROR(C7/D7,0)</f>
        <v/>
      </c>
    </row>
    <row r="8">
      <c r="A8" t="inlineStr">
        <is>
          <t>Database Review</t>
        </is>
      </c>
      <c r="B8">
        <f>COUNTIF('Database Review'!F:F,$G$2)</f>
        <v/>
      </c>
      <c r="C8">
        <f>COUNTIF('Database Review'!F:F,$G$3)</f>
        <v/>
      </c>
      <c r="D8">
        <f>B8+C8</f>
        <v/>
      </c>
      <c r="E8" s="112">
        <f>IFERROR(C8/D8,0)</f>
        <v/>
      </c>
    </row>
    <row r="9">
      <c r="A9" t="inlineStr">
        <is>
          <t>PAM Solution Review</t>
        </is>
      </c>
      <c r="B9">
        <f>COUNTIF('PAM Solution Review'!F:F,$G$2)</f>
        <v/>
      </c>
      <c r="C9">
        <f>COUNTIF('PAM Solution Review'!F:F,$G$3)</f>
        <v/>
      </c>
      <c r="D9">
        <f>B9+C9</f>
        <v/>
      </c>
      <c r="E9" s="112">
        <f>IFERROR(C9/D9,0)</f>
        <v/>
      </c>
    </row>
    <row r="10">
      <c r="A10" t="inlineStr">
        <is>
          <t>SIEM Review</t>
        </is>
      </c>
      <c r="B10">
        <f>COUNTIF('SIEM Review'!F:F,$G$2)</f>
        <v/>
      </c>
      <c r="C10">
        <f>COUNTIF('SIEM Review'!F:F,$G$3)</f>
        <v/>
      </c>
      <c r="D10">
        <f>B10+C10</f>
        <v/>
      </c>
      <c r="E10" s="112">
        <f>IFERROR(C10/D10,0)</f>
        <v/>
      </c>
    </row>
    <row r="11">
      <c r="A11" t="inlineStr">
        <is>
          <t>Infosec</t>
        </is>
      </c>
      <c r="B11">
        <f>COUNTIF(Infosec!F:F,$G$2)</f>
        <v/>
      </c>
      <c r="C11">
        <f>COUNTIF(Infosec!F:F,$G$3)</f>
        <v/>
      </c>
      <c r="D11">
        <f>B11+C11</f>
        <v/>
      </c>
      <c r="E11" s="112">
        <f>IFERROR(C11/D11,0)</f>
        <v/>
      </c>
    </row>
    <row r="12">
      <c r="A12" t="inlineStr">
        <is>
          <t>Switches - Network</t>
        </is>
      </c>
      <c r="B12">
        <f>COUNTIF('Switches - Network'!F:F,$G$2)</f>
        <v/>
      </c>
      <c r="C12">
        <f>COUNTIF('Switches - Network'!F:F,$G$3)</f>
        <v/>
      </c>
      <c r="D12">
        <f>B12+C12</f>
        <v/>
      </c>
      <c r="E12" s="112">
        <f>IFERROR(C12/D12,0)</f>
        <v/>
      </c>
    </row>
    <row r="13" ht="15" customHeight="1">
      <c r="A13" s="133" t="inlineStr">
        <is>
          <t>TOTAL</t>
        </is>
      </c>
      <c r="B13" s="133">
        <f>SUM(B4:B12)</f>
        <v/>
      </c>
      <c r="C13" s="114">
        <f>SUM(C4:C12)</f>
        <v/>
      </c>
      <c r="D13" s="134">
        <f>B13+C13</f>
        <v/>
      </c>
      <c r="E13" s="115">
        <f>IFERROR(C13/D13,0)</f>
        <v/>
      </c>
    </row>
    <row r="14">
      <c r="E14" t="inlineStr">
        <is>
          <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Chaithanya Nair</dc:creator>
  <dcterms:created xmlns:dcterms="http://purl.org/dc/terms/" xmlns:xsi="http://www.w3.org/2001/XMLSchema-instance" xsi:type="dcterms:W3CDTF">2026-07-14T18:59:59Z</dcterms:created>
  <dcterms:modified xmlns:dcterms="http://purl.org/dc/terms/" xmlns:xsi="http://www.w3.org/2001/XMLSchema-instance" xsi:type="dcterms:W3CDTF">2026-09-08T08:58:24Z</dcterms:modified>
  <cp:lastModifiedBy xml:space="preserve">Rudaw abdulrahman </cp:lastModifiedBy>
</cp:coreProperties>
</file>